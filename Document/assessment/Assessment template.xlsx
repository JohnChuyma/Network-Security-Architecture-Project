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04ACF73D-A98D-4417-89B4-BD1B57A2156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sset Assessment" sheetId="1" r:id="rId1"/>
    <sheet name="Risk Assessment" sheetId="12" r:id="rId2"/>
  </sheets>
  <definedNames>
    <definedName name="Advances" localSheetId="1">'Risk Assessment'!#REF!</definedName>
    <definedName name="Advances">'Asset Assessment'!#REF!</definedName>
    <definedName name="ColumnTitle1" localSheetId="1">#REF!</definedName>
    <definedName name="ColumnTitle1">ExpenseData[[#Headers],[Asset ID]]</definedName>
    <definedName name="l">ExpenseData[[#Headers],[Asset ID]]</definedName>
    <definedName name="_xlnm.Print_Titles" localSheetId="0">'Asset Assessment'!$10:$10</definedName>
    <definedName name="Subtotal" localSheetId="1">'Risk Assessment'!#REF!</definedName>
    <definedName name="Subtotal">'Asset Assessment'!#REF!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2" l="1"/>
  <c r="C109" i="12"/>
  <c r="B111" i="12" s="1"/>
  <c r="G96" i="12"/>
  <c r="C96" i="12"/>
  <c r="G83" i="12"/>
  <c r="C83" i="12"/>
  <c r="G70" i="12"/>
  <c r="C70" i="12"/>
  <c r="G57" i="12"/>
  <c r="C57" i="12"/>
  <c r="G44" i="12"/>
  <c r="C44" i="12"/>
  <c r="B46" i="12" s="1"/>
  <c r="G31" i="12"/>
  <c r="C31" i="12"/>
  <c r="G18" i="12"/>
  <c r="C18" i="12"/>
  <c r="B20" i="12" l="1"/>
  <c r="B85" i="12"/>
  <c r="B59" i="12"/>
  <c r="B98" i="12"/>
  <c r="B33" i="12"/>
  <c r="B7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tc={00013F36-27B3-40A6-A1AB-9F2A02D234D4}</author>
    <author>tc={D2ED8DDA-DD5F-4CFA-BAFF-EC5D0063CBA9}</author>
    <author>tc={8E067565-820A-4D0A-A939-E3792ED29468}</author>
    <author>tc={29A50C63-89CF-48B5-AEC1-F8DD7FAA6380}</author>
    <author>tc={6740674A-FC7B-47B9-97D8-DB1CA409B5AD}</author>
    <author>tc={176F3164-56D7-4656-8597-7A03ED15372D}</author>
    <author>tc={063E9599-76F9-4100-8115-D7C8F2787600}</author>
    <author>tc={D5DA5D06-E38A-4CC5-84CE-CF2361E76973}</author>
    <author>tc={02CF072C-5A5A-4A50-AD85-3A623E1365E0}</author>
    <author>tc={E085AB5B-238E-4EDA-8390-C4C78193FF2E}</author>
    <author>tc={E8EE592C-524C-45E5-AE0F-D8E5F50910E0}</author>
    <author>tc={03FDB2AC-F4BF-40B3-A298-7066A43D4E27}</author>
    <author>tc={244691C8-A192-4C8A-9F54-8608C6AA55DD}</author>
    <author>tc={DF136F56-5D54-4080-8830-35CA06B77F1C}</author>
    <author>tc={81C57CB2-FDB9-4790-B159-5960B68F03DD}</author>
    <author>tc={7C83F88F-E31F-46AF-9D13-0B1078E243EE}</author>
    <author>tc={60ACE805-F146-4D9B-ADC1-FF64049AED26}</author>
    <author>tc={DE8E7FA7-FD6D-40B2-ADA1-366305338DAF}</author>
    <author>tc={72B357D9-D161-4617-B880-3A064F353A80}</author>
    <author>tc={69A7F900-0CAC-4E25-BFE4-188C9F391507}</author>
    <author>tc={24AB496C-F079-4254-BE58-FF36CE27FE3B}</author>
    <author>tc={F9255F79-1EE6-45BF-BB12-D3ED35C0C490}</author>
    <author>tc={E45C7AFA-2062-45E8-ABA2-AFFFC03337DE}</author>
    <author>tc={6D4B172B-950A-4A7E-B54F-62E23D2F90FF}</author>
    <author>tc={E34F3C9F-D6DC-4AE1-B6CF-8EC00D4E1B77}</author>
    <author>tc={A4E260F3-E9F7-470D-AF8E-1A65E88224A9}</author>
    <author>tc={DB5BED6E-B259-4480-BAAB-23840E35C11B}</author>
    <author>tc={9B3DD08F-1C9F-47F8-9814-7FED9DFB2B47}</author>
    <author>tc={743663BF-7A35-4F45-AA19-2A689BEC2FD9}</author>
    <author>tc={0D36D1B5-1D8E-4A61-B64C-2996D96E479E}</author>
    <author>tc={9A074889-E4A4-46AB-BDBD-B4E6D02F5E5D}</author>
    <author>tc={E2B5EBFB-3090-408C-8B93-49AE79DED440}</author>
    <author>tc={F82AE568-1064-49B5-9F39-B4738261511D}</author>
    <author>tc={842E9C1D-0C3A-490B-B10C-0B4316E1497C}</author>
    <author>tc={9BBA68F3-65F2-4D7F-A0BD-428C8342481C}</author>
    <author>tc={C0EB9EF4-C6B1-42FA-84DC-83A5C471D409}</author>
    <author>tc={2484E6BF-5C07-44CA-8499-67BDD39D5B9F}</author>
    <author>tc={1EA50E8D-8008-43D0-9FF0-E97E7DD3D6D0}</author>
    <author>tc={14C61B38-39EC-4EB5-9CEA-DEAFC918FBCA}</author>
    <author>tc={B1E21266-CBB5-42FA-A3E3-E8B74EAF3816}</author>
    <author>tc={186C5048-F8D9-4C24-A92E-9BB7F1681027}</author>
    <author>tc={57E6C792-2DD7-47A9-BED2-1E427FA8B37F}</author>
    <author>tc={16B9A866-9EC6-444B-920B-FB12A8EDB566}</author>
    <author>tc={69C26303-B331-49F1-9F7B-A40767E594B4}</author>
    <author>tc={AF315163-BCD8-46B8-9B74-3CCC63225474}</author>
    <author>tc={695420A3-C5CD-4AA0-903E-47A7CB027626}</author>
    <author>tc={C2EF455C-D2A5-4422-9A2B-3AB41CC2A940}</author>
    <author>tc={2AFE47B9-7F96-4870-B84E-3354E67C05A7}</author>
    <author>tc={EF3AE152-6600-46C1-BD7B-2A9566D0F870}</author>
    <author>tc={04D7F279-6D2A-4B99-B326-2E917D1FA16D}</author>
    <author>tc={CFD39FBD-B837-4501-82CE-66CD0D207D74}</author>
    <author>tc={E2780C19-F67B-4953-9F13-EF8F4AE0DAEA}</author>
    <author>tc={83F3DA98-98BC-44DE-A483-179CD32654F0}</author>
    <author>tc={DFF60E68-D9E3-4351-9FD4-81ED8193EC10}</author>
    <author>tc={8FB2BC64-359C-4DEF-9F25-A8D3F701D8B4}</author>
    <author>tc={65A6201E-48FC-404B-AD09-805E7DBE6426}</author>
    <author>tc={0F1F9827-39A1-4890-A8F0-7CD6E6CFCD01}</author>
    <author>tc={DCE1F72E-558E-4803-B802-3594B80104F4}</author>
    <author>tc={7FC97C7E-9D6D-48C2-A6B2-1E1065C8AAEB}</author>
    <author>tc={379C2857-7DCD-4863-9199-6E156E5A6B43}</author>
    <author>tc={D1A36E7F-120D-4B4E-83AE-C9A06C5B04D3}</author>
    <author>tc={7FEFDA3E-31FD-4572-ACBB-A64C060BF503}</author>
    <author>tc={B15E5A45-3541-43E1-A76C-82E043229FAC}</author>
    <author>tc={F30B7276-4127-4FC3-A198-D993B4C1724E}</author>
    <author>tc={23AA1C94-DE60-4949-8D95-DC1BFC774335}</author>
    <author>tc={2C24107D-5B24-4378-944F-CA8B03CC7E30}</author>
    <author>tc={D9A8490C-DD3C-42F3-9544-1272EBEC4281}</author>
    <author>tc={ACC0BC6E-9A82-4E45-85AB-5D9215D458AF}</author>
    <author>tc={B983D5FB-AC7C-434C-9406-E8E98E753FD3}</author>
    <author>tc={C733B653-31F0-4C57-9805-5BDA3BC7EC6F}</author>
    <author>tc={AD8D8D10-869B-4338-88E6-B3A85E2CD6EF}</author>
    <author>tc={E91B71F7-11FA-4534-AD47-52F60E5BD115}</author>
    <author>tc={D05D656E-5D10-47FF-A2A6-EAFB7B77DD77}</author>
    <author>tc={BC5A749D-181B-4033-A3F1-AA1C86AABD3F}</author>
    <author>tc={8C698E9C-F4B8-4566-9073-DD01D8C2E559}</author>
    <author>tc={8258572C-477A-4B80-BCB9-F9831E74AF49}</author>
    <author>tc={7746F3BB-0BCC-437E-9FEA-E85731DDCB2F}</author>
    <author>tc={FCD09CA3-DB63-4418-938B-8D568F54E90A}</author>
    <author>tc={A4BB237A-B9C7-48C9-A526-5710DC1830AE}</author>
    <author>tc={C25876F2-5F82-42C5-B7B9-6489C739592E}</author>
  </authors>
  <commentList>
    <comment ref="C13" authorId="0" shapeId="0" xr:uid="{00013F36-27B3-40A6-A1AB-9F2A02D234D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Rare communication with unknown parties
5. Constant contact with unknown parties</t>
      </text>
    </comment>
    <comment ref="G13" authorId="1" shapeId="0" xr:uid="{D2ED8DDA-DD5F-4CFA-BAFF-EC5D0063CB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Only non-sensitive apps 
5. Full administrative access to core servers/network. </t>
      </text>
    </comment>
    <comment ref="C14" authorId="2" shapeId="0" xr:uid="{8E067565-820A-4D0A-A939-E3792ED29468}">
      <text>
        <t>[Threaded comment]
Your version of Excel allows you to read this threaded comment; however, any edits to it will get removed if the file is opened in a newer version of Excel. Learn more: https://go.microsoft.com/fwlink/?linkid=870924
Comment:
    1. Filters catch almost everything
5. Basic or no filtering, most spam/phishing gets through</t>
      </text>
    </comment>
    <comment ref="G14" authorId="3" shapeId="0" xr:uid="{29A50C63-89CF-48B5-AEC1-F8DD7FAA638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Not at all
5. All the time</t>
      </text>
    </comment>
    <comment ref="C15" authorId="4" shapeId="0" xr:uid="{6740674A-FC7B-47B9-97D8-DB1CA409B5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Staff email, phone, other personal info is not publicly available (on website or other business public facing service )
5. Full directory with names, title, email, etc, is available to the public.  </t>
      </text>
    </comment>
    <comment ref="G15" authorId="5" shapeId="0" xr:uid="{176F3164-56D7-4656-8597-7A03ED1537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No access to any financial systems or approvals. 
5. Ability to authorize large wire transfers or payroll. </t>
      </text>
    </comment>
    <comment ref="C16" authorId="6" shapeId="0" xr:uid="{063E9599-76F9-4100-8115-D7C8F27876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None, or next to no attempts detected
5. Attempts happen daily</t>
      </text>
    </comment>
    <comment ref="G16" authorId="7" shapeId="0" xr:uid="{D5DA5D06-E38A-4CC5-84CE-CF2361E7697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Publicly available info or internal non-sensitive info
5. Sensitive info such as PII, Credit cards, trade secrets, etc.</t>
      </text>
    </comment>
    <comment ref="C17" authorId="8" shapeId="0" xr:uid="{02CF072C-5A5A-4A50-AD85-3A623E1365E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Employees have scheduled training and phishing tests
5. No training programs or employes are unaware of risks</t>
      </text>
    </comment>
    <comment ref="G17" authorId="9" shapeId="0" xr:uid="{E085AB5B-238E-4EDA-8390-C4C78193FF2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Not at all
5. Public data breach or loss of service for clients</t>
      </text>
    </comment>
    <comment ref="C26" authorId="10" shapeId="0" xr:uid="{E8EE592C-524C-45E5-AE0F-D8E5F509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Deleted within the hour
5. Accounts stay active for weeks/months</t>
      </text>
    </comment>
    <comment ref="G26" authorId="11" shapeId="0" xr:uid="{03FDB2AC-F4BF-40B3-A298-7066A43D4E2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sensitive data is handled
5. Sensitive data is handled daily</t>
      </text>
    </comment>
    <comment ref="C27" authorId="12" shapeId="0" xr:uid="{244691C8-A192-4C8A-9F54-8608C6AA55D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Access privledges are appropriate to role
5. Most employees have admin privledges</t>
      </text>
    </comment>
    <comment ref="G27" authorId="13" shapeId="0" xr:uid="{DF136F56-5D54-4080-8830-35CA06B77F1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Multi-person approval required
5. One person has full control of finances</t>
      </text>
    </comment>
    <comment ref="C28" authorId="14" shapeId="0" xr:uid="{81C57CB2-FDB9-4790-B159-5960B68F03D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Everyone has their own password+MFA
2. Shared passwords are common; or no MFA used</t>
      </text>
    </comment>
    <comment ref="G28" authorId="15" shapeId="0" xr:uid="{7C83F88F-E31F-46AF-9D13-0B1078E243E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Data is backed up, recovery is quick
5. Loss would stop business operations</t>
      </text>
    </comment>
    <comment ref="C29" authorId="16" shapeId="0" xr:uid="{60ACE805-F146-4D9B-ADC1-FF64049AED2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Automated alerts for suspicious behavior (like big downloads or uploads etc.)
5. No logs or alerts for suspicious behavior</t>
      </text>
    </comment>
    <comment ref="G29" authorId="17" shapeId="0" xr:uid="{DE8E7FA7-FD6D-40B2-ADA1-366305338DA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Isolated sections go down
5. The entire organization goes down</t>
      </text>
    </comment>
    <comment ref="C30" authorId="18" shapeId="0" xr:uid="{72B357D9-D161-4617-B880-3A064F353A8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Quarterly training/meeting
5. No security training/meetings</t>
      </text>
    </comment>
    <comment ref="G30" authorId="19" shapeId="0" xr:uid="{69A7F900-0CAC-4E25-BFE4-188C9F39150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legal requirments
5. Breach triggers fines or lawsuit</t>
      </text>
    </comment>
    <comment ref="C39" authorId="20" shapeId="0" xr:uid="{24AB496C-F079-4254-BE58-FF36CE27FE3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Accounts are Immediately disabled
5. Accounts remain active for months or even years</t>
      </text>
    </comment>
    <comment ref="G39" authorId="21" shapeId="0" xr:uid="{F9255F79-1EE6-45BF-BB12-D3ED35C0C49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Limited access to non critical systems
5. Broad access across systems</t>
      </text>
    </comment>
    <comment ref="C40" authorId="22" shapeId="0" xr:uid="{E45C7AFA-2062-45E8-ABA2-AFFFC03337D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Access aligns to roles
5. Borad or shared access</t>
      </text>
    </comment>
    <comment ref="G40" authorId="23" shapeId="0" xr:uid="{6D4B172B-950A-4A7E-B54F-62E23D2F90F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Controls and countermeasures to prevent escalation
5. Easy path to admin/domain access</t>
      </text>
    </comment>
    <comment ref="C41" authorId="24" shapeId="0" xr:uid="{E34F3C9F-D6DC-4AE1-B6CF-8EC00D4E1B7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MFA on all critical systems
5. No MFA in use</t>
      </text>
    </comment>
    <comment ref="G41" authorId="25" shapeId="0" xr:uid="{A4E260F3-E9F7-470D-AF8E-1A65E88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Access is given widely
5. Few accounts control everything</t>
      </text>
    </comment>
    <comment ref="C42" authorId="26" shapeId="0" xr:uid="{DB5BED6E-B259-4480-BAAB-23840E35C11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Strong policies
5. Weak/shared/reused passwords</t>
      </text>
    </comment>
    <comment ref="G42" authorId="27" shapeId="0" xr:uid="{9B3DD08F-1C9F-47F8-9814-7FED9DFB2B4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exposure
5. Access to customer/financial/ or other sensitive data.</t>
      </text>
    </comment>
    <comment ref="C43" authorId="28" shapeId="0" xr:uid="{743663BF-7A35-4F45-AA19-2A689BEC2FD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Sperate admin accounts used minimally
5. Admin accounts are used daily</t>
      </text>
    </comment>
    <comment ref="G43" authorId="29" shapeId="0" xr:uid="{0D36D1B5-1D8E-4A61-B64C-2996D96E479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disruption
5. Full business disruption possible</t>
      </text>
    </comment>
    <comment ref="C52" authorId="30" shapeId="0" xr:uid="{9A074889-E4A4-46AB-BDBD-B4E6D02F5E5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Managed EDR is active and alerts are reviewed
5. No centralized protection or Anti Virus</t>
      </text>
    </comment>
    <comment ref="G52" authorId="31" shapeId="0" xr:uid="{E2B5EBFB-3090-408C-8B93-49AE79DED44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Limited to one device
5. Spreads across endpoints, shared folders, and servers</t>
      </text>
    </comment>
    <comment ref="C53" authorId="32" shapeId="0" xr:uid="{F82AE568-1064-49B5-9F39-B4738261511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Automatic updated are enabled and is regularly maintained
5. Updates are ignored</t>
      </text>
    </comment>
    <comment ref="G53" authorId="33" shapeId="0" xr:uid="{842E9C1D-0C3A-490B-B10C-0B4316E1497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There are tested Offline Backups
5. Backups are easily accessible over the network and are likely encrypted</t>
      </text>
    </comment>
    <comment ref="C54" authorId="34" shapeId="0" xr:uid="{9BBA68F3-65F2-4D7F-A0BD-428C8342481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Users have Standard user accounts
5. Most users are local admins</t>
      </text>
    </comment>
    <comment ref="G54" authorId="35" shapeId="0" xr:uid="{C0EB9EF4-C6B1-42FA-84DC-83A5C471D4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Limited sync
5. Cloud drives are fully impacted </t>
      </text>
    </comment>
    <comment ref="C55" authorId="36" shapeId="0" xr:uid="{2484E6BF-5C07-44CA-8499-67BDD39D5B9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Email filtering + basic training
5. No filtering, no training</t>
      </text>
    </comment>
    <comment ref="G55" authorId="37" shapeId="0" xr:uid="{1EA50E8D-8008-43D0-9FF0-E97E7DD3D6D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Minor disruption
5. Major disruption</t>
      </text>
    </comment>
    <comment ref="C56" authorId="38" shapeId="0" xr:uid="{14C61B38-39EC-4EB5-9CEA-DEAFC918FBC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Alerts reviewed
5. No monitoring/logging</t>
      </text>
    </comment>
    <comment ref="G56" authorId="39" shapeId="0" xr:uid="{B1E21266-CBB5-42FA-A3E3-E8B74EAF381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meaningful data exposed
5. Business ending data exposed</t>
      </text>
    </comment>
    <comment ref="C65" authorId="40" shapeId="0" xr:uid="{186C5048-F8D9-4C24-A92E-9BB7F168102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Locked access or controlled entry
5. Unrestricted access</t>
      </text>
    </comment>
    <comment ref="G65" authorId="41" shapeId="0" xr:uid="{57E6C792-2DD7-47A9-BED2-1E427FA8B37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Encrypted devices, minimal risk
5. Unencrypted devices with sensitive data.</t>
      </text>
    </comment>
    <comment ref="C66" authorId="42" shapeId="0" xr:uid="{16B9A866-9EC6-444B-920B-FB12A8EDB56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Devices Locked or supervised
5. Devices left unattended</t>
      </text>
    </comment>
    <comment ref="G66" authorId="43" shapeId="0" xr:uid="{69C26303-B331-49F1-9F7B-A40767E594B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access even with entry
5. Direct access to internal systems</t>
      </text>
    </comment>
    <comment ref="C67" authorId="44" shapeId="0" xr:uid="{AF315163-BCD8-46B8-9B74-3CCC6322547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Cameras or logs exist
5. No monitoring at all</t>
      </text>
    </comment>
    <comment ref="G67" authorId="45" shapeId="0" xr:uid="{695420A3-C5CD-4AA0-903E-47A7CB02762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Easily replaceable
5. Critical systems lost</t>
      </text>
    </comment>
    <comment ref="C68" authorId="46" shapeId="0" xr:uid="{C2EF455C-D2A5-4422-9A2B-3AB41CC2A94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Ports disabled or secured
5. Anyone can plug in and connect</t>
      </text>
    </comment>
    <comment ref="G68" authorId="47" shapeId="0" xr:uid="{2AFE47B9-7F96-4870-B84E-3354E67C05A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Infrastructure secured
5. Network equipment is easily accessible</t>
      </text>
    </comment>
    <comment ref="C69" authorId="48" shapeId="0" xr:uid="{EF3AE152-6600-46C1-BD7B-2A9566D0F87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Drives are wiped
5. Devices discarded without data removal</t>
      </text>
    </comment>
    <comment ref="G69" authorId="49" shapeId="0" xr:uid="{04D7F279-6D2A-4B99-B326-2E917D1FA16D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major consequence
5. Breach triggers compliance issues, legal issues, or fines</t>
      </text>
    </comment>
    <comment ref="C78" authorId="50" shapeId="0" xr:uid="{CFD39FBD-B837-4501-82CE-66CD0D207D7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Security review
5. No Vetting at all</t>
      </text>
    </comment>
    <comment ref="G78" authorId="51" shapeId="0" xr:uid="{E2780C19-F67B-4953-9F13-EF8F4AE0DAE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access
5. Broad access to systems or data</t>
      </text>
    </comment>
    <comment ref="C79" authorId="52" shapeId="0" xr:uid="{83F3DA98-98BC-44DE-A483-179CD32654F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Regularly reviewed
5. Old accounts remain active indefinitely</t>
      </text>
    </comment>
    <comment ref="G79" authorId="53" shapeId="0" xr:uid="{DFF60E68-D9E3-4351-9FD4-81ED8193EC10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sensitive data exposure
5. Payment/customer data handled externally</t>
      </text>
    </comment>
    <comment ref="C80" authorId="54" shapeId="0" xr:uid="{8FB2BC64-359C-4DEF-9F25-A8D3F701D8B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Some defined expectations
5. No requirements at all</t>
      </text>
    </comment>
    <comment ref="G80" authorId="55" shapeId="0" xr:uid="{65A6201E-48FC-404B-AD09-805E7DBE6426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Easily replaceable
5. Critical dependancy</t>
      </text>
    </comment>
    <comment ref="C81" authorId="56" shapeId="0" xr:uid="{0F1F9827-39A1-4890-A8F0-7CD6E6CFCD0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Access is logged and reviewed
5. No monitoring at all</t>
      </text>
    </comment>
    <comment ref="G81" authorId="57" shapeId="0" xr:uid="{DCE1F72E-558E-4803-B802-3594B80104F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regulatory exposure
5. Legal consequences</t>
      </text>
    </comment>
    <comment ref="C82" authorId="58" shapeId="0" xr:uid="{7FC97C7E-9D6D-48C2-A6B2-1E1065C8AAE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IT approved tools only
5. Any tools allowed</t>
      </text>
    </comment>
    <comment ref="G82" authorId="59" shapeId="0" xr:uid="{379C2857-7DCD-4863-9199-6E156E5A6B4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Redundancy exists
5. One vendor for everything</t>
      </text>
    </comment>
    <comment ref="C91" authorId="60" shapeId="0" xr:uid="{D1A36E7F-120D-4B4E-83AE-C9A06C5B04D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Segmentation in place
5. Flat network</t>
      </text>
    </comment>
    <comment ref="G91" authorId="61" shapeId="0" xr:uid="{7FEFDA3E-31FD-4572-ACBB-A64C060B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No, there is strong isolation
5. Yes, there is easy access once inside</t>
      </text>
    </comment>
    <comment ref="C92" authorId="62" shapeId="0" xr:uid="{B15E5A45-3541-43E1-A76C-82E043229FA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Business grade firewall with rules that are reviewed
5. Consumer grade or default configuration router.</t>
      </text>
    </comment>
    <comment ref="G92" authorId="63" shapeId="0" xr:uid="{F30B7276-4127-4FC3-A198-D993B4C1724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Movement is restricted
5. Full network traversal possible</t>
      </text>
    </comment>
    <comment ref="C93" authorId="64" shapeId="0" xr:uid="{23AA1C94-DE60-4949-8D95-DC1BFC77433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VPN + MFA required
5. Direct internet exposure</t>
      </text>
    </comment>
    <comment ref="G93" authorId="65" shapeId="0" xr:uid="{2C24107D-5B24-4378-944F-CA8B03CC7E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Restricted access
5. Widely accessible
</t>
      </text>
    </comment>
    <comment ref="C94" authorId="66" shapeId="0" xr:uid="{D9A8490C-DD3C-42F3-9544-1272EBEC428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Hardened systems
5. Many unnecessary services exposed</t>
      </text>
    </comment>
    <comment ref="G94" authorId="67" shapeId="0" xr:uid="{ACC0BC6E-9A82-4E45-85AB-5D9215D458A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Encrypted traffic enforced
5. Unencrypted/internal exposure</t>
      </text>
    </comment>
    <comment ref="C95" authorId="68" shapeId="0" xr:uid="{B983D5FB-AC7C-434C-9406-E8E98E753FD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Logs and alerts are kept and viewed
5. No monitoring</t>
      </text>
    </comment>
    <comment ref="G95" authorId="69" shapeId="0" xr:uid="{C733B653-31F0-4C57-9805-5BDA3BC7EC6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disruption
5. Major disruption</t>
      </text>
    </comment>
    <comment ref="C104" authorId="70" shapeId="0" xr:uid="{AD8D8D10-869B-4338-88E6-B3A85E2CD6E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Documented plan exists
5. No plan at all</t>
      </text>
    </comment>
    <comment ref="G104" authorId="71" shapeId="0" xr:uid="{E91B71F7-11FA-4534-AD47-52F60E5BD11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Within hours
5. Days or weeks</t>
      </text>
    </comment>
    <comment ref="C105" authorId="72" shapeId="0" xr:uid="{D05D656E-5D10-47FF-A2A6-EAFB7B77DD7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Clear reporting process
5. No Awareness</t>
      </text>
    </comment>
    <comment ref="G105" authorId="73" shapeId="0" xr:uid="{BC5A749D-181B-4033-A3F1-AA1C86AABD3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Rapid containment
5. Slow or uncontrolled spread</t>
      </text>
    </comment>
    <comment ref="C106" authorId="74" shapeId="0" xr:uid="{8C698E9C-F4B8-4566-9073-DD01D8C2E55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Logs are kept and are accessible
5. Little to no logging</t>
      </text>
    </comment>
    <comment ref="G106" authorId="75" shapeId="0" xr:uid="{8258572C-477A-4B80-BCB9-F9831E74AF49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additional damage
5. Significant escalation</t>
      </text>
    </comment>
    <comment ref="C107" authorId="76" shapeId="0" xr:uid="{7746F3BB-0BCC-437E-9FEA-E85731DDCB2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At least informal testing
5. Never tested</t>
      </text>
    </comment>
    <comment ref="G107" authorId="77" shapeId="0" xr:uid="{FCD09CA3-DB63-4418-938B-8D568F54E90A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Communication plans exist
5. No abilty to coordinate response</t>
      </text>
    </comment>
    <comment ref="C108" authorId="78" shapeId="0" xr:uid="{A4BB237A-B9C7-48C9-A526-5710DC1830A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Contacts ready
5. No support plan</t>
      </text>
    </comment>
    <comment ref="G108" authorId="79" shapeId="0" xr:uid="{C25876F2-5F82-42C5-B7B9-6489C739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1. Minimal effect
5. Major increase in liability or fines</t>
      </text>
    </comment>
  </commentList>
</comments>
</file>

<file path=xl/sharedStrings.xml><?xml version="1.0" encoding="utf-8"?>
<sst xmlns="http://schemas.openxmlformats.org/spreadsheetml/2006/main" count="224" uniqueCount="134">
  <si>
    <t>Description</t>
  </si>
  <si>
    <t>APPROVED</t>
  </si>
  <si>
    <t>NOTES</t>
  </si>
  <si>
    <t>Asset ID</t>
  </si>
  <si>
    <t>Owner</t>
  </si>
  <si>
    <t>Location</t>
  </si>
  <si>
    <t>Classificaiton</t>
  </si>
  <si>
    <t>Buisness Impact</t>
  </si>
  <si>
    <t>Asset Assessment</t>
  </si>
  <si>
    <t>Last Reviewed</t>
  </si>
  <si>
    <t>Firm Name</t>
  </si>
  <si>
    <t>coo</t>
  </si>
  <si>
    <t>laptop</t>
  </si>
  <si>
    <t>Reviewer Name:</t>
  </si>
  <si>
    <t>John Smith</t>
  </si>
  <si>
    <t>Hardware, Information, Software, Services, Physical assets, and People</t>
  </si>
  <si>
    <t>any resource that is owned or controlled that holds value</t>
  </si>
  <si>
    <t>Filling out the form:</t>
  </si>
  <si>
    <t>Considerations:</t>
  </si>
  <si>
    <t>Examples:</t>
  </si>
  <si>
    <t>Asset defenition:</t>
  </si>
  <si>
    <t xml:space="preserve">Can buisness objectives be met without the asset?                                  </t>
  </si>
  <si>
    <t>Do employees often receive external emails from unkown senders?</t>
  </si>
  <si>
    <t>Does the organization use email to approve transactions or transmit sensitve data?</t>
  </si>
  <si>
    <t>Are executives or staff publicly listed?</t>
  </si>
  <si>
    <t>Have phishing emails been reported in the past year?</t>
  </si>
  <si>
    <t>Total:</t>
  </si>
  <si>
    <t>ex</t>
  </si>
  <si>
    <t>example:</t>
  </si>
  <si>
    <t>Risk Total:</t>
  </si>
  <si>
    <t>Questions</t>
  </si>
  <si>
    <t>Do employees lack trained to identify phising attempts?</t>
  </si>
  <si>
    <t>scoring 1-5</t>
  </si>
  <si>
    <t>Justification / notes</t>
  </si>
  <si>
    <t>Could a compromised user initaite unathorized financial transfers?</t>
  </si>
  <si>
    <t>If a user were to be compromised,how much access would an attacker have?</t>
  </si>
  <si>
    <t>If a user were to be compromised Would customers be affected?</t>
  </si>
  <si>
    <t>Risk Assessment</t>
  </si>
  <si>
    <t>Scoring:</t>
  </si>
  <si>
    <t>Risk calculation:</t>
  </si>
  <si>
    <t>Likelyhood*Impact</t>
  </si>
  <si>
    <t>Likelyhood</t>
  </si>
  <si>
    <t>Impact</t>
  </si>
  <si>
    <t>1-5 scale</t>
  </si>
  <si>
    <t>Score 1-8:</t>
  </si>
  <si>
    <t>Low Risk. Continue to monitor</t>
  </si>
  <si>
    <t>Score 9-16:</t>
  </si>
  <si>
    <t>Medium Risk. Requires mitigation/training</t>
  </si>
  <si>
    <t>Score 17-25:</t>
  </si>
  <si>
    <t>High Risk. Immediate action required</t>
  </si>
  <si>
    <t>Insider Threat</t>
  </si>
  <si>
    <t>Physical security</t>
  </si>
  <si>
    <t xml:space="preserve">Third Party risks </t>
  </si>
  <si>
    <t>Incident response</t>
  </si>
  <si>
    <t>Phishing</t>
  </si>
  <si>
    <t>How often do employees use weak passwords or share passwords?</t>
  </si>
  <si>
    <t>If an admin account was compromised, how much of the network could be shut down?</t>
  </si>
  <si>
    <t>Is anti-phising software non existent?</t>
  </si>
  <si>
    <t>Do users have local admin privlidges?</t>
  </si>
  <si>
    <t>Is endpoint security missing, outdated, or unmanaged?</t>
  </si>
  <si>
    <t>Are backups accessible from the network?</t>
  </si>
  <si>
    <t>How many systems could be encrypted from a single device?</t>
  </si>
  <si>
    <t>Would ciritcal operations be disrupted?</t>
  </si>
  <si>
    <t>Could sensitive data be stolen before encryption?</t>
  </si>
  <si>
    <t>Are devices left in public or shared spaces?</t>
  </si>
  <si>
    <t>Could stolen devices have sensitive data?</t>
  </si>
  <si>
    <t>Access Controls</t>
  </si>
  <si>
    <t>Network Security</t>
  </si>
  <si>
    <t>If one account is compromised how much can it access?</t>
  </si>
  <si>
    <t>Could an attacker access internal systems from the network?</t>
  </si>
  <si>
    <t xml:space="preserve">1: if strongly disagree                                                                                                                                                                            5: if strongly agree </t>
  </si>
  <si>
    <t>Does the network have little to no segmentation?</t>
  </si>
  <si>
    <t>Are firewalls properly configured and maintaned?</t>
  </si>
  <si>
    <t>Are remote access methods secured?</t>
  </si>
  <si>
    <t>Are unused ports disabled?</t>
  </si>
  <si>
    <t>Are logs and alerts disabled or not being kept?</t>
  </si>
  <si>
    <t>Could an attacker move laterally across systems?</t>
  </si>
  <si>
    <t>Are critical systems exposed internally?</t>
  </si>
  <si>
    <t>Could sensitve data be intercepted?</t>
  </si>
  <si>
    <t>Would network compromise disrupt buisness operations?</t>
  </si>
  <si>
    <t>Do employees bypass security controls to get work done?</t>
  </si>
  <si>
    <t>Are background checks skipepd when hiring new employees?</t>
  </si>
  <si>
    <t xml:space="preserve">Is there a lack of monitoring for suspicious behavior/activites of employees? </t>
  </si>
  <si>
    <t>How much sensitive data can the average employee access?</t>
  </si>
  <si>
    <t>Would a breach trigger mandatory reporting or fines?</t>
  </si>
  <si>
    <t>Do accounts stay active for a while after someone leaves the organization?</t>
  </si>
  <si>
    <t>Do employees have more access privledges than required for their job?</t>
  </si>
  <si>
    <t>Is MFA ignored, shared, or disabled?</t>
  </si>
  <si>
    <t>Are passwords managed securly?</t>
  </si>
  <si>
    <t>Are admin accounts separate than user accounts?</t>
  </si>
  <si>
    <t>Could a compromised user retrieve sensitive data?</t>
  </si>
  <si>
    <t>Do employees lack security training?</t>
  </si>
  <si>
    <t>Can one person complete a large financial transaction?</t>
  </si>
  <si>
    <t>If a user's data was lsot, can the organization continue running?</t>
  </si>
  <si>
    <t>Could an attacker easily move lateraly through the network?</t>
  </si>
  <si>
    <t>Are there many admin accounts?</t>
  </si>
  <si>
    <t>Could compromised credentials expose sensitve data?</t>
  </si>
  <si>
    <t>Could compromised accounts disrupt buisness operatins?</t>
  </si>
  <si>
    <t>Malware &amp; Ransomware</t>
  </si>
  <si>
    <t>Could ransomware spread to shared drives or cloud storage?</t>
  </si>
  <si>
    <t>Are email/web protections weak?</t>
  </si>
  <si>
    <t>Is there little to no monitoring of endpoint activity?</t>
  </si>
  <si>
    <t>Are endpoints incosistently updated and patched?</t>
  </si>
  <si>
    <t xml:space="preserve">Are buisness computers or offices accessible without a badge/keycard? </t>
  </si>
  <si>
    <t xml:space="preserve">Can anyone access networking equipment? </t>
  </si>
  <si>
    <t>Could loss of hardware disrupt critical buisness operations</t>
  </si>
  <si>
    <t>Are third party accounts managed?</t>
  </si>
  <si>
    <t>Are third parties inspected before access is granted?</t>
  </si>
  <si>
    <t>Are there security requirments in the contract?</t>
  </si>
  <si>
    <t>Is the vendor monitored?</t>
  </si>
  <si>
    <t>Are third party tools controlled?</t>
  </si>
  <si>
    <t>Is hardware disposal informal?</t>
  </si>
  <si>
    <t>Are internal networks able to by accessed by unathorized individuals?</t>
  </si>
  <si>
    <t>Is there little to no survelince or logging of physical systems?</t>
  </si>
  <si>
    <t>Could the network be compromised because of physical access?</t>
  </si>
  <si>
    <t>Would breach trigger legal/compliance consequences?</t>
  </si>
  <si>
    <t>Is there a single point of failure?</t>
  </si>
  <si>
    <t>Could third party compromise cause compliance issues?</t>
  </si>
  <si>
    <t>If a third party failed would it disrupt buisness operation?</t>
  </si>
  <si>
    <t>Do vendors handle sensitive data?</t>
  </si>
  <si>
    <t>Could a third party access sensitve data?</t>
  </si>
  <si>
    <t>Is the incident response plan poor or not existent?</t>
  </si>
  <si>
    <t>Do employees not know how to report incidets?</t>
  </si>
  <si>
    <t>Are logs not  available for investigation?</t>
  </si>
  <si>
    <t>Does it take time to detect an incident?</t>
  </si>
  <si>
    <t>Does it take time to contain an incident?</t>
  </si>
  <si>
    <t>Does poor communication make the damage worse?</t>
  </si>
  <si>
    <t>Would this have legal/compliance impact?</t>
  </si>
  <si>
    <t>Is there no external help?</t>
  </si>
  <si>
    <t>Has the response plan not been tested?</t>
  </si>
  <si>
    <t>Is the organization unable toeffectively communicate internally and externally duing an incident?</t>
  </si>
  <si>
    <t>If unsure:</t>
  </si>
  <si>
    <t>Score = 3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</si>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</sst>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$&quot;#,##0.00"/>
  </numFmts>
  <fonts count="25" x14ac:knownFonts="1">
    <font>
      <sz val="11"/>
      <color theme="1" tint="0.2499465926084170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24"/>
      <color theme="4" tint="-0.499984740745262"/>
      <name val="Franklin Gothic Medium"/>
      <family val="2"/>
      <scheme val="major"/>
    </font>
    <font>
      <b/>
      <sz val="11"/>
      <color theme="1"/>
      <name val="Franklin Gothic Medium"/>
      <family val="2"/>
      <scheme val="minor"/>
    </font>
    <font>
      <b/>
      <sz val="11"/>
      <color theme="4" tint="-0.499984740745262"/>
      <name val="Franklin Gothic Medium"/>
      <family val="2"/>
      <scheme val="major"/>
    </font>
    <font>
      <sz val="11"/>
      <color theme="1" tint="0.24994659260841701"/>
      <name val="Franklin Gothic Medium"/>
      <family val="2"/>
      <scheme val="major"/>
    </font>
    <font>
      <sz val="11"/>
      <color theme="1" tint="0.24994659260841701"/>
      <name val="Franklin Gothic Medium"/>
      <family val="2"/>
      <scheme val="minor"/>
    </font>
    <font>
      <i/>
      <u/>
      <sz val="9"/>
      <color theme="1" tint="4.9989318521683403E-2"/>
      <name val="Franklin Gothic Medium"/>
      <family val="2"/>
      <scheme val="major"/>
    </font>
    <font>
      <b/>
      <sz val="12"/>
      <color theme="4" tint="-0.499984740745262"/>
      <name val="Franklin Gothic Medium"/>
      <family val="2"/>
      <scheme val="major"/>
    </font>
    <font>
      <b/>
      <sz val="11"/>
      <color theme="3"/>
      <name val="Franklin Gothic Medium"/>
      <family val="2"/>
    </font>
    <font>
      <sz val="11"/>
      <name val="Franklin Gothic Medium"/>
      <family val="2"/>
    </font>
    <font>
      <sz val="11"/>
      <color theme="1" tint="0.24994659260841701"/>
      <name val="Franklin Gothic Medium"/>
      <family val="2"/>
    </font>
    <font>
      <sz val="11"/>
      <color theme="1"/>
      <name val="Franklin Gothic Medium"/>
      <family val="2"/>
    </font>
    <font>
      <sz val="9"/>
      <color theme="3"/>
      <name val="Franklin Gothic Medium"/>
      <family val="2"/>
    </font>
    <font>
      <sz val="10"/>
      <name val="Franklin Gothic Medium"/>
      <family val="2"/>
    </font>
    <font>
      <sz val="12"/>
      <color theme="1"/>
      <name val="Franklin Gothic Medium"/>
      <family val="2"/>
    </font>
    <font>
      <b/>
      <sz val="16"/>
      <color theme="5" tint="-0.749992370372631"/>
      <name val="Franklin Gothic Medium"/>
      <family val="2"/>
    </font>
    <font>
      <sz val="36"/>
      <color theme="5" tint="-0.749992370372631"/>
      <name val="Franklin Gothic Medium"/>
      <family val="2"/>
      <scheme val="major"/>
    </font>
    <font>
      <b/>
      <sz val="11"/>
      <color theme="1"/>
      <name val="Franklin Gothic Medium"/>
      <family val="2"/>
      <scheme val="major"/>
    </font>
    <font>
      <b/>
      <sz val="16"/>
      <color theme="4"/>
      <name val="Franklin Gothic Medium"/>
      <family val="2"/>
      <scheme val="major"/>
    </font>
    <font>
      <sz val="11"/>
      <color theme="1"/>
      <name val="Franklin Gothic Medium"/>
      <family val="2"/>
      <scheme val="major"/>
    </font>
    <font>
      <sz val="11"/>
      <color theme="5" tint="-0.249977111117893"/>
      <name val="Franklin Gothic Medium"/>
      <family val="2"/>
      <scheme val="minor"/>
    </font>
    <font>
      <sz val="11"/>
      <color theme="4" tint="-0.24994659260841701"/>
      <name val="Franklin Gothic Medium"/>
      <family val="2"/>
      <scheme val="minor"/>
    </font>
    <font>
      <b/>
      <sz val="16"/>
      <color theme="4" tint="-0.249977111117893"/>
      <name val="Franklin Gothic Medium"/>
      <family val="2"/>
      <scheme val="major"/>
    </font>
    <font>
      <sz val="11"/>
      <color theme="0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auto="1"/>
      </patternFill>
    </fill>
  </fills>
  <borders count="54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theme="4" tint="0.79995117038483843"/>
      </bottom>
      <diagonal/>
    </border>
    <border>
      <left/>
      <right/>
      <top style="medium">
        <color theme="4" tint="0.79995117038483843"/>
      </top>
      <bottom style="medium">
        <color theme="4" tint="0.79995117038483843"/>
      </bottom>
      <diagonal/>
    </border>
    <border>
      <left/>
      <right/>
      <top/>
      <bottom style="medium">
        <color theme="5" tint="-0.749961851863155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/>
      <right style="thin">
        <color theme="6" tint="0.59996337778862885"/>
      </right>
      <top/>
      <bottom style="thin">
        <color theme="6" tint="0.59996337778862885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5" tint="0.599993896298104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4"/>
      </right>
      <top style="thin">
        <color theme="4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4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4"/>
      </right>
      <top style="thin">
        <color theme="6" tint="0.59996337778862885"/>
      </top>
      <bottom style="thin">
        <color theme="4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4"/>
      </top>
      <bottom style="thin">
        <color theme="6" tint="0.59996337778862885"/>
      </bottom>
      <diagonal/>
    </border>
    <border>
      <left style="thin">
        <color theme="4"/>
      </left>
      <right style="thin">
        <color theme="6" tint="0.59996337778862885"/>
      </right>
      <top style="thin">
        <color theme="6" tint="0.59996337778862885"/>
      </top>
      <bottom style="thin">
        <color theme="4"/>
      </bottom>
      <diagonal/>
    </border>
    <border>
      <left style="thin">
        <color theme="4"/>
      </left>
      <right style="thin">
        <color theme="5" tint="0.599993896298104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4"/>
      </left>
      <right style="thin">
        <color theme="5" tint="0.59999389629810485"/>
      </right>
      <top style="thin">
        <color theme="6" tint="0.59996337778862885"/>
      </top>
      <bottom style="thin">
        <color theme="4"/>
      </bottom>
      <diagonal/>
    </border>
    <border>
      <left/>
      <right style="thin">
        <color theme="6" tint="0.59996337778862885"/>
      </right>
      <top style="thin">
        <color theme="6" tint="0.59996337778862885"/>
      </top>
      <bottom style="thin">
        <color theme="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5" tint="0.59999389629810485"/>
      </bottom>
      <diagonal/>
    </border>
    <border>
      <left/>
      <right/>
      <top style="thin">
        <color theme="4"/>
      </top>
      <bottom style="thin">
        <color theme="5" tint="0.59999389629810485"/>
      </bottom>
      <diagonal/>
    </border>
    <border>
      <left/>
      <right style="thin">
        <color theme="4"/>
      </right>
      <top style="thin">
        <color theme="4"/>
      </top>
      <bottom style="thin">
        <color theme="5" tint="0.59999389629810485"/>
      </bottom>
      <diagonal/>
    </border>
    <border>
      <left style="thin">
        <color theme="4"/>
      </left>
      <right style="thin">
        <color theme="5" tint="0.39997558519241921"/>
      </right>
      <top/>
      <bottom/>
      <diagonal/>
    </border>
    <border>
      <left style="thin">
        <color theme="5" tint="0.39997558519241921"/>
      </left>
      <right/>
      <top style="thin">
        <color theme="5" tint="0.59999389629810485"/>
      </top>
      <bottom style="thin">
        <color theme="5" tint="0.39997558519241921"/>
      </bottom>
      <diagonal/>
    </border>
    <border>
      <left/>
      <right/>
      <top style="thin">
        <color theme="5" tint="0.59999389629810485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59999389629810485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/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/>
      </left>
      <right style="thin">
        <color theme="5" tint="0.59999389629810485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4"/>
      </right>
      <top/>
      <bottom style="thin">
        <color theme="6" tint="0.59996337778862885"/>
      </bottom>
      <diagonal/>
    </border>
    <border>
      <left style="thin">
        <color theme="5" tint="0.39997558519241921"/>
      </left>
      <right style="thin">
        <color theme="4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4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/>
      <right/>
      <top/>
      <bottom style="thin">
        <color theme="6" tint="0.59996337778862885"/>
      </bottom>
      <diagonal/>
    </border>
    <border>
      <left style="thin">
        <color theme="4"/>
      </left>
      <right/>
      <top/>
      <bottom style="thin">
        <color theme="6" tint="0.59996337778862885"/>
      </bottom>
      <diagonal/>
    </border>
    <border>
      <left style="thin">
        <color theme="5" tint="0.39997558519241921"/>
      </left>
      <right style="thin">
        <color theme="4"/>
      </right>
      <top style="thin">
        <color theme="5" tint="0.39997558519241921"/>
      </top>
      <bottom style="thin">
        <color theme="4"/>
      </bottom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4"/>
      </top>
      <bottom style="thin">
        <color theme="5" tint="0.59999389629810485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59999389629810485"/>
      </left>
      <right style="thin">
        <color theme="4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6" tint="0.59996337778862885"/>
      </left>
      <right style="thin">
        <color theme="5" tint="0.59999389629810485"/>
      </right>
      <top style="thin">
        <color theme="5" tint="0.39997558519241921"/>
      </top>
      <bottom style="thin">
        <color theme="6" tint="0.59996337778862885"/>
      </bottom>
      <diagonal/>
    </border>
  </borders>
  <cellStyleXfs count="18">
    <xf numFmtId="0" fontId="0" fillId="0" borderId="0"/>
    <xf numFmtId="0" fontId="8" fillId="0" borderId="0" applyFill="0" applyProtection="0"/>
    <xf numFmtId="0" fontId="4" fillId="0" borderId="0" applyFill="0" applyProtection="0">
      <alignment horizontal="right" vertical="center" wrapText="1"/>
    </xf>
    <xf numFmtId="0" fontId="5" fillId="0" borderId="0" applyFill="0" applyProtection="0">
      <alignment horizontal="right" vertical="center" indent="1"/>
    </xf>
    <xf numFmtId="0" fontId="7" fillId="0" borderId="0" applyProtection="0">
      <alignment vertical="top"/>
    </xf>
    <xf numFmtId="43" fontId="6" fillId="0" borderId="0" applyFill="0" applyBorder="0" applyAlignment="0" applyProtection="0"/>
    <xf numFmtId="41" fontId="6" fillId="0" borderId="0" applyFill="0" applyBorder="0" applyAlignment="0" applyProtection="0"/>
    <xf numFmtId="7" fontId="6" fillId="0" borderId="0" applyFont="0" applyFill="0" applyBorder="0" applyProtection="0">
      <alignment vertical="center"/>
    </xf>
    <xf numFmtId="42" fontId="6" fillId="0" borderId="0" applyFill="0" applyBorder="0" applyAlignment="0" applyProtection="0"/>
    <xf numFmtId="9" fontId="6" fillId="0" borderId="0" applyFill="0" applyBorder="0" applyAlignment="0" applyProtection="0"/>
    <xf numFmtId="164" fontId="3" fillId="2" borderId="3">
      <alignment horizontal="center"/>
    </xf>
    <xf numFmtId="0" fontId="6" fillId="0" borderId="1">
      <alignment horizontal="left" vertical="center" wrapText="1"/>
    </xf>
    <xf numFmtId="0" fontId="6" fillId="0" borderId="0">
      <alignment vertical="center"/>
    </xf>
    <xf numFmtId="14" fontId="6" fillId="0" borderId="0">
      <alignment horizontal="left" vertical="center"/>
    </xf>
    <xf numFmtId="0" fontId="6" fillId="0" borderId="0">
      <alignment vertical="center" wrapText="1"/>
    </xf>
    <xf numFmtId="7" fontId="3" fillId="2" borderId="4">
      <alignment horizontal="center"/>
    </xf>
    <xf numFmtId="7" fontId="3" fillId="0" borderId="2">
      <alignment horizontal="center"/>
    </xf>
    <xf numFmtId="0" fontId="2" fillId="0" borderId="0" applyProtection="0">
      <alignment vertical="top"/>
    </xf>
  </cellStyleXfs>
  <cellXfs count="109">
    <xf numFmtId="0" fontId="0" fillId="0" borderId="0" xfId="0"/>
    <xf numFmtId="0" fontId="12" fillId="3" borderId="0" xfId="0" applyFont="1" applyFill="1" applyAlignment="1">
      <alignment horizontal="left" indent="1"/>
    </xf>
    <xf numFmtId="0" fontId="11" fillId="3" borderId="0" xfId="0" applyFont="1" applyFill="1"/>
    <xf numFmtId="0" fontId="10" fillId="3" borderId="0" xfId="3" applyFont="1" applyFill="1" applyAlignment="1">
      <alignment horizontal="left"/>
    </xf>
    <xf numFmtId="0" fontId="13" fillId="3" borderId="0" xfId="4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5" fillId="3" borderId="0" xfId="4" applyFont="1" applyFill="1" applyAlignment="1">
      <alignment horizontal="right" vertical="center" indent="1"/>
    </xf>
    <xf numFmtId="0" fontId="11" fillId="3" borderId="0" xfId="11" applyFont="1" applyFill="1" applyBorder="1" applyAlignment="1">
      <alignment horizontal="left" wrapText="1"/>
    </xf>
    <xf numFmtId="0" fontId="9" fillId="3" borderId="7" xfId="2" applyFont="1" applyFill="1" applyBorder="1" applyAlignment="1">
      <alignment horizontal="right" wrapText="1" indent="1"/>
    </xf>
    <xf numFmtId="0" fontId="11" fillId="3" borderId="7" xfId="11" applyFont="1" applyFill="1" applyBorder="1" applyAlignment="1">
      <alignment horizontal="left" wrapText="1"/>
    </xf>
    <xf numFmtId="0" fontId="9" fillId="3" borderId="7" xfId="2" applyFont="1" applyFill="1" applyBorder="1" applyAlignment="1">
      <alignment horizontal="right" indent="1"/>
    </xf>
    <xf numFmtId="14" fontId="11" fillId="3" borderId="7" xfId="13" applyFont="1" applyFill="1" applyBorder="1" applyAlignment="1">
      <alignment horizontal="left"/>
    </xf>
    <xf numFmtId="0" fontId="11" fillId="3" borderId="7" xfId="0" applyFont="1" applyFill="1" applyBorder="1"/>
    <xf numFmtId="0" fontId="17" fillId="3" borderId="0" xfId="17" applyFont="1" applyFill="1" applyAlignment="1">
      <alignment horizontal="left"/>
    </xf>
    <xf numFmtId="0" fontId="18" fillId="3" borderId="0" xfId="2" applyFont="1" applyFill="1" applyAlignment="1">
      <alignment horizontal="right" wrapText="1" indent="1"/>
    </xf>
    <xf numFmtId="0" fontId="19" fillId="3" borderId="0" xfId="17" applyFont="1" applyFill="1" applyAlignment="1">
      <alignment horizontal="left" vertical="center" indent="1"/>
    </xf>
    <xf numFmtId="0" fontId="18" fillId="3" borderId="0" xfId="2" applyFont="1" applyFill="1" applyAlignment="1">
      <alignment horizontal="right" indent="1"/>
    </xf>
    <xf numFmtId="0" fontId="19" fillId="3" borderId="0" xfId="1" applyFont="1" applyFill="1" applyAlignment="1">
      <alignment horizontal="left" indent="1"/>
    </xf>
    <xf numFmtId="0" fontId="20" fillId="3" borderId="0" xfId="3" applyFont="1" applyFill="1" applyAlignment="1">
      <alignment horizontal="right" indent="1"/>
    </xf>
    <xf numFmtId="0" fontId="6" fillId="3" borderId="0" xfId="11" applyFill="1" applyBorder="1" applyAlignment="1">
      <alignment horizontal="left" wrapText="1"/>
    </xf>
    <xf numFmtId="14" fontId="6" fillId="3" borderId="0" xfId="13" applyFill="1" applyAlignment="1">
      <alignment horizontal="left"/>
    </xf>
    <xf numFmtId="0" fontId="19" fillId="3" borderId="0" xfId="2" applyFont="1" applyFill="1" applyAlignment="1">
      <alignment horizontal="right" vertical="center" wrapText="1" indent="1"/>
    </xf>
    <xf numFmtId="0" fontId="19" fillId="3" borderId="0" xfId="2" applyFont="1" applyFill="1" applyAlignment="1">
      <alignment horizontal="right" indent="1"/>
    </xf>
    <xf numFmtId="0" fontId="6" fillId="3" borderId="5" xfId="11" applyFill="1" applyBorder="1">
      <alignment horizontal="left" vertical="center" wrapText="1"/>
    </xf>
    <xf numFmtId="0" fontId="6" fillId="3" borderId="6" xfId="11" applyFill="1" applyBorder="1">
      <alignment horizontal="left" vertical="center" wrapText="1"/>
    </xf>
    <xf numFmtId="0" fontId="1" fillId="3" borderId="0" xfId="3" applyFont="1" applyFill="1">
      <alignment horizontal="right" vertical="center" indent="1"/>
    </xf>
    <xf numFmtId="14" fontId="0" fillId="3" borderId="0" xfId="13" applyFont="1" applyFill="1" applyAlignment="1">
      <alignment horizontal="left"/>
    </xf>
    <xf numFmtId="0" fontId="6" fillId="0" borderId="0" xfId="13" applyNumberFormat="1" applyAlignment="1">
      <alignment horizontal="center" vertical="center"/>
    </xf>
    <xf numFmtId="0" fontId="6" fillId="0" borderId="0" xfId="14" applyAlignment="1">
      <alignment horizontal="center" vertical="center" wrapText="1"/>
    </xf>
    <xf numFmtId="0" fontId="6" fillId="0" borderId="0" xfId="7" applyNumberFormat="1" applyFont="1" applyFill="1" applyAlignment="1">
      <alignment horizontal="center" vertical="center"/>
    </xf>
    <xf numFmtId="0" fontId="16" fillId="0" borderId="0" xfId="12" applyFont="1" applyAlignment="1">
      <alignment horizontal="center" vertical="center"/>
    </xf>
    <xf numFmtId="0" fontId="16" fillId="3" borderId="0" xfId="12" applyFont="1" applyFill="1" applyAlignment="1">
      <alignment horizontal="center" vertical="center"/>
    </xf>
    <xf numFmtId="0" fontId="6" fillId="3" borderId="0" xfId="7" applyNumberFormat="1" applyFont="1" applyFill="1" applyAlignment="1">
      <alignment horizontal="center" vertical="center"/>
    </xf>
    <xf numFmtId="0" fontId="6" fillId="0" borderId="0" xfId="14">
      <alignment vertical="center" wrapText="1"/>
    </xf>
    <xf numFmtId="0" fontId="21" fillId="3" borderId="6" xfId="11" applyFont="1" applyFill="1" applyBorder="1">
      <alignment horizontal="left" vertical="center" wrapText="1"/>
    </xf>
    <xf numFmtId="0" fontId="16" fillId="4" borderId="8" xfId="12" applyFont="1" applyFill="1" applyBorder="1" applyAlignment="1">
      <alignment horizontal="center" vertical="center"/>
    </xf>
    <xf numFmtId="0" fontId="16" fillId="4" borderId="4" xfId="12" applyFont="1" applyFill="1" applyBorder="1" applyAlignment="1">
      <alignment horizontal="center" vertical="center"/>
    </xf>
    <xf numFmtId="0" fontId="22" fillId="3" borderId="9" xfId="14" applyFont="1" applyFill="1" applyBorder="1">
      <alignment vertical="center" wrapText="1"/>
    </xf>
    <xf numFmtId="0" fontId="22" fillId="3" borderId="10" xfId="14" applyFont="1" applyFill="1" applyBorder="1">
      <alignment vertical="center" wrapText="1"/>
    </xf>
    <xf numFmtId="0" fontId="0" fillId="0" borderId="0" xfId="14" applyFont="1">
      <alignment vertical="center" wrapText="1"/>
    </xf>
    <xf numFmtId="0" fontId="0" fillId="3" borderId="0" xfId="11" applyFont="1" applyFill="1" applyBorder="1" applyAlignment="1">
      <alignment horizontal="left" wrapText="1"/>
    </xf>
    <xf numFmtId="0" fontId="20" fillId="3" borderId="0" xfId="3" applyFont="1" applyFill="1">
      <alignment horizontal="right" vertical="center" indent="1"/>
    </xf>
    <xf numFmtId="0" fontId="0" fillId="3" borderId="0" xfId="11" applyFont="1" applyFill="1" applyBorder="1">
      <alignment horizontal="left" vertical="center" wrapText="1"/>
    </xf>
    <xf numFmtId="0" fontId="21" fillId="3" borderId="5" xfId="11" applyFont="1" applyFill="1" applyBorder="1" applyAlignment="1">
      <alignment vertical="center" wrapText="1"/>
    </xf>
    <xf numFmtId="0" fontId="6" fillId="3" borderId="5" xfId="11" applyFill="1" applyBorder="1" applyAlignment="1">
      <alignment vertical="center" wrapText="1"/>
    </xf>
    <xf numFmtId="0" fontId="22" fillId="3" borderId="10" xfId="14" applyFont="1" applyFill="1" applyBorder="1" applyAlignment="1">
      <alignment horizontal="center" vertical="center" wrapText="1"/>
    </xf>
    <xf numFmtId="0" fontId="22" fillId="3" borderId="9" xfId="13" applyNumberFormat="1" applyFont="1" applyFill="1" applyBorder="1" applyAlignment="1">
      <alignment horizontal="center" vertical="center" wrapText="1"/>
    </xf>
    <xf numFmtId="0" fontId="22" fillId="3" borderId="9" xfId="14" applyFont="1" applyFill="1" applyBorder="1" applyAlignment="1">
      <alignment horizontal="center" vertical="center" wrapText="1"/>
    </xf>
    <xf numFmtId="0" fontId="22" fillId="3" borderId="11" xfId="14" applyFont="1" applyFill="1" applyBorder="1" applyAlignment="1">
      <alignment horizontal="center" vertical="center" wrapText="1"/>
    </xf>
    <xf numFmtId="0" fontId="16" fillId="4" borderId="12" xfId="12" applyFont="1" applyFill="1" applyBorder="1" applyAlignment="1">
      <alignment horizontal="center" vertical="center"/>
    </xf>
    <xf numFmtId="0" fontId="16" fillId="3" borderId="12" xfId="12" applyFont="1" applyFill="1" applyBorder="1" applyAlignment="1">
      <alignment horizontal="center" vertical="center" wrapText="1"/>
    </xf>
    <xf numFmtId="0" fontId="22" fillId="3" borderId="13" xfId="13" applyNumberFormat="1" applyFont="1" applyFill="1" applyBorder="1" applyAlignment="1">
      <alignment horizontal="center" vertical="center" wrapText="1"/>
    </xf>
    <xf numFmtId="0" fontId="11" fillId="3" borderId="2" xfId="0" applyFont="1" applyFill="1" applyBorder="1"/>
    <xf numFmtId="0" fontId="22" fillId="3" borderId="14" xfId="14" applyFont="1" applyFill="1" applyBorder="1" applyAlignment="1">
      <alignment horizontal="center" vertical="center" wrapText="1"/>
    </xf>
    <xf numFmtId="0" fontId="22" fillId="3" borderId="15" xfId="14" applyFont="1" applyFill="1" applyBorder="1" applyAlignment="1">
      <alignment horizontal="center" vertical="center" wrapText="1"/>
    </xf>
    <xf numFmtId="0" fontId="22" fillId="3" borderId="16" xfId="14" applyFont="1" applyFill="1" applyBorder="1" applyAlignment="1">
      <alignment horizontal="center" vertical="center" wrapText="1"/>
    </xf>
    <xf numFmtId="0" fontId="22" fillId="3" borderId="17" xfId="14" applyFont="1" applyFill="1" applyBorder="1" applyAlignment="1">
      <alignment horizontal="center" vertical="center" wrapText="1"/>
    </xf>
    <xf numFmtId="0" fontId="22" fillId="3" borderId="18" xfId="13" applyNumberFormat="1" applyFont="1" applyFill="1" applyBorder="1" applyAlignment="1">
      <alignment horizontal="center" vertical="center"/>
    </xf>
    <xf numFmtId="0" fontId="22" fillId="3" borderId="19" xfId="13" applyNumberFormat="1" applyFont="1" applyFill="1" applyBorder="1" applyAlignment="1">
      <alignment horizontal="center" vertical="center" wrapText="1"/>
    </xf>
    <xf numFmtId="0" fontId="22" fillId="3" borderId="19" xfId="13" applyNumberFormat="1" applyFont="1" applyFill="1" applyBorder="1" applyAlignment="1">
      <alignment horizontal="center" vertical="center"/>
    </xf>
    <xf numFmtId="0" fontId="22" fillId="3" borderId="20" xfId="13" applyNumberFormat="1" applyFont="1" applyFill="1" applyBorder="1" applyAlignment="1">
      <alignment horizontal="center" vertical="center"/>
    </xf>
    <xf numFmtId="0" fontId="22" fillId="3" borderId="21" xfId="14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26" xfId="0" applyFont="1" applyFill="1" applyBorder="1"/>
    <xf numFmtId="0" fontId="11" fillId="3" borderId="30" xfId="0" applyFont="1" applyFill="1" applyBorder="1"/>
    <xf numFmtId="0" fontId="11" fillId="3" borderId="35" xfId="0" applyFont="1" applyFill="1" applyBorder="1"/>
    <xf numFmtId="0" fontId="14" fillId="3" borderId="2" xfId="0" applyFont="1" applyFill="1" applyBorder="1" applyAlignment="1">
      <alignment horizontal="center"/>
    </xf>
    <xf numFmtId="0" fontId="22" fillId="3" borderId="39" xfId="13" applyNumberFormat="1" applyFont="1" applyFill="1" applyBorder="1" applyAlignment="1">
      <alignment horizontal="center" vertical="center" wrapText="1"/>
    </xf>
    <xf numFmtId="0" fontId="22" fillId="3" borderId="40" xfId="14" applyFont="1" applyFill="1" applyBorder="1" applyAlignment="1">
      <alignment horizontal="center" vertical="center" wrapText="1"/>
    </xf>
    <xf numFmtId="0" fontId="16" fillId="4" borderId="22" xfId="12" applyFont="1" applyFill="1" applyBorder="1" applyAlignment="1">
      <alignment horizontal="center" vertical="center"/>
    </xf>
    <xf numFmtId="0" fontId="16" fillId="4" borderId="41" xfId="12" applyFont="1" applyFill="1" applyBorder="1" applyAlignment="1">
      <alignment horizontal="center" vertical="center"/>
    </xf>
    <xf numFmtId="0" fontId="16" fillId="3" borderId="42" xfId="12" applyFont="1" applyFill="1" applyBorder="1" applyAlignment="1">
      <alignment horizontal="center" vertical="center" wrapText="1"/>
    </xf>
    <xf numFmtId="0" fontId="11" fillId="3" borderId="36" xfId="0" applyFont="1" applyFill="1" applyBorder="1"/>
    <xf numFmtId="0" fontId="0" fillId="3" borderId="0" xfId="11" applyFont="1" applyFill="1" applyBorder="1" applyAlignment="1">
      <alignment wrapText="1"/>
    </xf>
    <xf numFmtId="0" fontId="20" fillId="3" borderId="0" xfId="3" applyFont="1" applyFill="1" applyAlignment="1">
      <alignment horizontal="right" vertical="center"/>
    </xf>
    <xf numFmtId="0" fontId="11" fillId="0" borderId="0" xfId="0" applyFont="1"/>
    <xf numFmtId="0" fontId="22" fillId="3" borderId="0" xfId="0" applyFont="1" applyFill="1"/>
    <xf numFmtId="0" fontId="22" fillId="3" borderId="43" xfId="14" applyFont="1" applyFill="1" applyBorder="1" applyAlignment="1">
      <alignment horizontal="center" vertical="center" wrapText="1"/>
    </xf>
    <xf numFmtId="0" fontId="16" fillId="3" borderId="44" xfId="12" applyFont="1" applyFill="1" applyBorder="1" applyAlignment="1">
      <alignment horizontal="center" vertical="center" wrapText="1"/>
    </xf>
    <xf numFmtId="0" fontId="22" fillId="3" borderId="45" xfId="14" applyFont="1" applyFill="1" applyBorder="1" applyAlignment="1">
      <alignment horizontal="center" vertical="center" wrapText="1"/>
    </xf>
    <xf numFmtId="0" fontId="22" fillId="3" borderId="46" xfId="14" applyFont="1" applyFill="1" applyBorder="1" applyAlignment="1">
      <alignment horizontal="center" vertical="center" wrapText="1"/>
    </xf>
    <xf numFmtId="0" fontId="22" fillId="3" borderId="47" xfId="13" applyNumberFormat="1" applyFont="1" applyFill="1" applyBorder="1" applyAlignment="1">
      <alignment horizontal="center" vertical="center" wrapText="1"/>
    </xf>
    <xf numFmtId="0" fontId="16" fillId="4" borderId="48" xfId="12" applyFont="1" applyFill="1" applyBorder="1" applyAlignment="1">
      <alignment horizontal="center" vertical="center"/>
    </xf>
    <xf numFmtId="0" fontId="11" fillId="3" borderId="50" xfId="0" applyFont="1" applyFill="1" applyBorder="1"/>
    <xf numFmtId="0" fontId="22" fillId="3" borderId="49" xfId="14" applyFont="1" applyFill="1" applyBorder="1" applyAlignment="1">
      <alignment horizontal="center" vertical="center" wrapText="1"/>
    </xf>
    <xf numFmtId="0" fontId="11" fillId="3" borderId="51" xfId="0" applyFont="1" applyFill="1" applyBorder="1"/>
    <xf numFmtId="0" fontId="22" fillId="3" borderId="52" xfId="14" applyFont="1" applyFill="1" applyBorder="1" applyAlignment="1">
      <alignment horizontal="center" vertical="center" wrapText="1"/>
    </xf>
    <xf numFmtId="0" fontId="22" fillId="3" borderId="53" xfId="14" applyFont="1" applyFill="1" applyBorder="1" applyAlignment="1">
      <alignment horizontal="center" vertical="center" wrapText="1"/>
    </xf>
    <xf numFmtId="0" fontId="11" fillId="3" borderId="52" xfId="0" applyFont="1" applyFill="1" applyBorder="1"/>
    <xf numFmtId="0" fontId="24" fillId="3" borderId="0" xfId="0" applyFont="1" applyFill="1" applyAlignment="1">
      <alignment horizontal="left" indent="1"/>
    </xf>
    <xf numFmtId="0" fontId="0" fillId="3" borderId="0" xfId="11" applyFont="1" applyFill="1" applyBorder="1">
      <alignment horizontal="left" vertical="center" wrapText="1"/>
    </xf>
    <xf numFmtId="0" fontId="6" fillId="3" borderId="0" xfId="11" applyFill="1" applyBorder="1">
      <alignment horizontal="left" vertical="center" wrapText="1"/>
    </xf>
    <xf numFmtId="0" fontId="0" fillId="0" borderId="0" xfId="0"/>
    <xf numFmtId="0" fontId="22" fillId="3" borderId="27" xfId="13" applyNumberFormat="1" applyFont="1" applyFill="1" applyBorder="1" applyAlignment="1">
      <alignment horizontal="center" vertical="center"/>
    </xf>
    <xf numFmtId="0" fontId="22" fillId="3" borderId="28" xfId="13" applyNumberFormat="1" applyFont="1" applyFill="1" applyBorder="1" applyAlignment="1">
      <alignment horizontal="center" vertical="center"/>
    </xf>
    <xf numFmtId="0" fontId="22" fillId="3" borderId="29" xfId="13" applyNumberFormat="1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23" fillId="3" borderId="23" xfId="2" applyFont="1" applyFill="1" applyBorder="1" applyAlignment="1">
      <alignment horizontal="center" vertical="center" wrapText="1"/>
    </xf>
    <xf numFmtId="0" fontId="23" fillId="3" borderId="24" xfId="2" applyFont="1" applyFill="1" applyBorder="1" applyAlignment="1">
      <alignment horizontal="center" vertical="center" wrapText="1"/>
    </xf>
    <xf numFmtId="0" fontId="23" fillId="3" borderId="25" xfId="2" applyFont="1" applyFill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23" fillId="3" borderId="37" xfId="2" applyFont="1" applyFill="1" applyBorder="1" applyAlignment="1">
      <alignment horizontal="center" vertical="center" wrapText="1"/>
    </xf>
    <xf numFmtId="0" fontId="23" fillId="3" borderId="34" xfId="2" applyFont="1" applyFill="1" applyBorder="1" applyAlignment="1">
      <alignment horizontal="center" vertical="center" wrapText="1"/>
    </xf>
    <xf numFmtId="0" fontId="23" fillId="3" borderId="38" xfId="2" applyFont="1" applyFill="1" applyBorder="1" applyAlignment="1">
      <alignment horizontal="center" vertical="center" wrapText="1"/>
    </xf>
    <xf numFmtId="0" fontId="6" fillId="3" borderId="0" xfId="11" applyFill="1" applyBorder="1" applyAlignment="1">
      <alignment horizontal="left" wrapText="1"/>
    </xf>
  </cellXfs>
  <cellStyles count="18">
    <cellStyle name="Advances" xfId="16" xr:uid="{00000000-0005-0000-0000-000000000000}"/>
    <cellStyle name="Comma" xfId="5" builtinId="3" customBuiltin="1"/>
    <cellStyle name="Comma [0]" xfId="6" builtinId="6" customBuiltin="1"/>
    <cellStyle name="Currency" xfId="7" builtinId="4" customBuiltin="1"/>
    <cellStyle name="Currency [0]" xfId="8" builtinId="7" customBuiltin="1"/>
    <cellStyle name="Date" xfId="13" xr:uid="{00000000-0005-0000-0000-000005000000}"/>
    <cellStyle name="Header Row" xfId="12" xr:uid="{00000000-0005-0000-0000-000006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Label Text" xfId="11" xr:uid="{00000000-0005-0000-0000-00000B000000}"/>
    <cellStyle name="Normal" xfId="0" builtinId="0" customBuiltin="1"/>
    <cellStyle name="Percent" xfId="9" builtinId="5" customBuiltin="1"/>
    <cellStyle name="Subtotal" xfId="15" xr:uid="{00000000-0005-0000-0000-00000E000000}"/>
    <cellStyle name="Table Text" xfId="14" xr:uid="{00000000-0005-0000-0000-00000F000000}"/>
    <cellStyle name="Title" xfId="17" builtinId="15" customBuiltin="1"/>
    <cellStyle name="Total" xfId="10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color theme="3"/>
        <name val="Franklin Gothic Medium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5" tint="-0.749992370372631"/>
        <name val="Franklin Gothic Medium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border>
        <bottom style="medium">
          <color theme="5" tint="-0.749961851863155"/>
        </bottom>
      </border>
    </dxf>
    <dxf>
      <font>
        <b/>
        <i val="0"/>
        <strike val="0"/>
        <color theme="5" tint="-0.749961851863155"/>
      </font>
      <fill>
        <patternFill patternType="solid">
          <fgColor auto="1"/>
          <bgColor theme="0" tint="-4.9989318521683403E-2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color theme="4" tint="-0.24994659260841701"/>
      </font>
      <fill>
        <patternFill>
          <bgColor theme="0" tint="-4.9989318521683403E-2"/>
        </patternFill>
      </fill>
      <border>
        <left/>
        <right/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10"/>
      <tableStyleElement type="headerRow" dxfId="9"/>
      <tableStyleElement type="total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Data" displayName="ExpenseData" ref="B10:G51" totalsRowShown="0" headerRowDxfId="7" totalsRowDxfId="6" headerRowCellStyle="Header Row" dataCellStyle="Table Text">
  <autoFilter ref="B10:G5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Asset ID" totalsRowDxfId="5" dataCellStyle="Table Text"/>
    <tableColumn id="2" xr3:uid="{00000000-0010-0000-0000-000002000000}" name="Description" totalsRowDxfId="4" dataCellStyle="Table Text"/>
    <tableColumn id="3" xr3:uid="{00000000-0010-0000-0000-000003000000}" name="Owner" totalsRowDxfId="3" dataCellStyle="Table Text"/>
    <tableColumn id="4" xr3:uid="{00000000-0010-0000-0000-000004000000}" name="Location" totalsRowDxfId="2" dataCellStyle="Table Text"/>
    <tableColumn id="5" xr3:uid="{00000000-0010-0000-0000-000005000000}" name="Classificaiton" totalsRowDxfId="1" dataCellStyle="Table Text"/>
    <tableColumn id="6" xr3:uid="{00000000-0010-0000-0000-000006000000}" name="Buisness Impact" totalsRowDxfId="0" dataCellStyle="Table Text"/>
  </tableColumns>
  <tableStyleInfo name="Business Table" showFirstColumn="0" showLastColumn="0" showRowStripes="0" showColumnStripes="0"/>
  <extLst>
    <ext xmlns:x14="http://schemas.microsoft.com/office/spreadsheetml/2009/9/main" uri="{504A1905-F514-4f6f-8877-14C23A59335A}">
      <x14:table altTextSummary="Enter expenses by date, account with description, &amp; various expenses by category in this table to calculate the total expenses incurred by employee"/>
    </ext>
  </extLst>
</table>
</file>

<file path=xl/theme/theme1.xml><?xml version="1.0" encoding="utf-8"?>
<a:theme xmlns:a="http://schemas.openxmlformats.org/drawingml/2006/main" name="Business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Custom 56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6-03-31T21:09:05.63" personId="{00000000-0000-0000-0000-000000000000}" id="{00013F36-27B3-40A6-A1AB-9F2A02D234D4}">
    <text>1. Rare communication with unknown parties
5. Constant contact with unknown parties</text>
  </threadedComment>
  <threadedComment ref="G13" dT="2026-03-31T20:32:12.64" personId="{00000000-0000-0000-0000-000000000000}" id="{D2ED8DDA-DD5F-4CFA-BAFF-EC5D0063CBA9}">
    <text xml:space="preserve">1. Only non-sensitive apps 
5. Full administrative access to core servers/network. </text>
  </threadedComment>
  <threadedComment ref="C14" dT="2026-03-31T21:14:36.05" personId="{00000000-0000-0000-0000-000000000000}" id="{8E067565-820A-4D0A-A939-E3792ED29468}">
    <text>1. Filters catch almost everything
5. Basic or no filtering, most spam/phishing gets through</text>
  </threadedComment>
  <threadedComment ref="G14" dT="2026-03-31T20:44:57.01" personId="{00000000-0000-0000-0000-000000000000}" id="{29A50C63-89CF-48B5-AEC1-F8DD7FAA6380}">
    <text>1. Not at all
5. All the time</text>
  </threadedComment>
  <threadedComment ref="C15" dT="2026-03-31T21:17:14.95" personId="{00000000-0000-0000-0000-000000000000}" id="{6740674A-FC7B-47B9-97D8-DB1CA409B5AD}">
    <text xml:space="preserve">1. Staff email, phone, other personal info is not publicly available (on website or other business public facing service )
5. Full directory with names, title, email, etc, is available to the public.  </text>
  </threadedComment>
  <threadedComment ref="G15" dT="2026-03-31T20:36:18.02" personId="{00000000-0000-0000-0000-000000000000}" id="{176F3164-56D7-4656-8597-7A03ED15372D}">
    <text xml:space="preserve">1. No access to any financial systems or approvals. 
5. Ability to authorize large wire transfers or payroll. </text>
  </threadedComment>
  <threadedComment ref="C16" dT="2026-03-31T21:18:05.37" personId="{00000000-0000-0000-0000-000000000000}" id="{063E9599-76F9-4100-8115-D7C8F2787600}">
    <text>1. None, or next to no attempts detected
5. Attempts happen daily</text>
  </threadedComment>
  <threadedComment ref="G16" dT="2026-03-31T20:41:37.75" personId="{00000000-0000-0000-0000-000000000000}" id="{D5DA5D06-E38A-4CC5-84CE-CF2361E76973}">
    <text>1. Publicly available info or internal non-sensitive info
5. Sensitive info such as PII, Credit cards, trade secrets, etc.</text>
  </threadedComment>
  <threadedComment ref="C17" dT="2026-03-31T21:18:43.49" personId="{00000000-0000-0000-0000-000000000000}" id="{02CF072C-5A5A-4A50-AD85-3A623E1365E0}">
    <text>1. Employees have scheduled training and phishing tests
5. No training programs or employes are unaware of risks</text>
  </threadedComment>
  <threadedComment ref="G17" dT="2026-03-31T20:50:50.05" personId="{00000000-0000-0000-0000-000000000000}" id="{E085AB5B-238E-4EDA-8390-C4C78193FF2E}">
    <text>1. Not at all
5. Public data breach or loss of service for clients</text>
  </threadedComment>
  <threadedComment ref="C26" dT="2026-03-31T21:09:05.63" personId="{00000000-0000-0000-0000-000000000000}" id="{E8EE592C-524C-45E5-AE0F-D8E5F50910E0}">
    <text>1. Deleted within the hour
5. Accounts stay active for weeks/months</text>
  </threadedComment>
  <threadedComment ref="G26" dT="2026-04-01T01:57:22.84" personId="{00000000-0000-0000-0000-000000000000}" id="{03FDB2AC-F4BF-40B3-A298-7066A43D4E27}">
    <text>1. No sensitive data is handled
5. Sensitive data is handled daily</text>
  </threadedComment>
  <threadedComment ref="C27" dT="2026-04-01T01:36:01.19" personId="{00000000-0000-0000-0000-000000000000}" id="{244691C8-A192-4C8A-9F54-8608C6AA55DD}">
    <text>1. Access privledges are appropriate to role
5. Most employees have admin privledges</text>
  </threadedComment>
  <threadedComment ref="G27" dT="2026-04-01T01:57:57.16" personId="{00000000-0000-0000-0000-000000000000}" id="{DF136F56-5D54-4080-8830-35CA06B77F1C}">
    <text>1. Multi-person approval required
5. One person has full control of finances</text>
  </threadedComment>
  <threadedComment ref="C28" dT="2026-03-31T21:17:14.95" personId="{00000000-0000-0000-0000-000000000000}" id="{81C57CB2-FDB9-4790-B159-5960B68F03DD}">
    <text>1. Everyone has their own password+MFA
2. Shared passwords are common; or no MFA used</text>
  </threadedComment>
  <threadedComment ref="G28" dT="2026-04-01T01:58:41.95" personId="{00000000-0000-0000-0000-000000000000}" id="{7C83F88F-E31F-46AF-9D13-0B1078E243EE}">
    <text>1. Data is backed up, recovery is quick
5. Loss would stop business operations</text>
  </threadedComment>
  <threadedComment ref="C29" dT="2026-04-01T00:04:55.50" personId="{00000000-0000-0000-0000-000000000000}" id="{60ACE805-F146-4D9B-ADC1-FF64049AED26}">
    <text>1. Automated alerts for suspicious behavior (like big downloads or uploads etc.)
5. No logs or alerts for suspicious behavior</text>
  </threadedComment>
  <threadedComment ref="G29" dT="2026-04-01T02:01:18.86" personId="{00000000-0000-0000-0000-000000000000}" id="{DE8E7FA7-FD6D-40B2-ADA1-366305338DAF}">
    <text>1. Isolated sections go down
5. The entire organization goes down</text>
  </threadedComment>
  <threadedComment ref="C30" dT="2026-04-01T00:03:15.95" personId="{00000000-0000-0000-0000-000000000000}" id="{72B357D9-D161-4617-B880-3A064F353A80}">
    <text>1. Quarterly training/meeting
5. No security training/meetings</text>
  </threadedComment>
  <threadedComment ref="G30" dT="2026-04-01T02:00:07.97" personId="{00000000-0000-0000-0000-000000000000}" id="{69A7F900-0CAC-4E25-BFE4-188C9F391507}">
    <text>1. No legal requirments
5. Breach triggers fines or lawsuit</text>
  </threadedComment>
  <threadedComment ref="C39" dT="2026-03-31T21:09:05.63" personId="{00000000-0000-0000-0000-000000000000}" id="{24AB496C-F079-4254-BE58-FF36CE27FE3B}">
    <text>1. Accounts are Immediately disabled
5. Accounts remain active for months or even years</text>
  </threadedComment>
  <threadedComment ref="G39" dT="2026-03-31T20:32:12.64" personId="{00000000-0000-0000-0000-000000000000}" id="{F9255F79-1EE6-45BF-BB12-D3ED35C0C490}">
    <text>1. Limited access to non critical systems
5. Broad access across systems</text>
  </threadedComment>
  <threadedComment ref="C40" dT="2026-03-31T21:14:36.05" personId="{00000000-0000-0000-0000-000000000000}" id="{E45C7AFA-2062-45E8-ABA2-AFFFC03337DE}">
    <text>1. Access aligns to roles
5. Borad or shared access</text>
  </threadedComment>
  <threadedComment ref="G40" dT="2026-03-31T20:44:57.01" personId="{00000000-0000-0000-0000-000000000000}" id="{6D4B172B-950A-4A7E-B54F-62E23D2F90FF}">
    <text>1. Controls and countermeasures to prevent escalation
5. Easy path to admin/domain access</text>
  </threadedComment>
  <threadedComment ref="C41" dT="2026-03-31T21:17:14.95" personId="{00000000-0000-0000-0000-000000000000}" id="{E34F3C9F-D6DC-4AE1-B6CF-8EC00D4E1B77}">
    <text>1. MFA on all critical systems
5. No MFA in use</text>
  </threadedComment>
  <threadedComment ref="G41" dT="2026-03-31T20:36:18.02" personId="{00000000-0000-0000-0000-000000000000}" id="{A4E260F3-E9F7-470D-AF8E-1A65E88224A9}">
    <text>1. Access is given widely
5. Few accounts control everything</text>
  </threadedComment>
  <threadedComment ref="C42" dT="2026-04-07T01:50:41.67" personId="{00000000-0000-0000-0000-000000000000}" id="{DB5BED6E-B259-4480-BAAB-23840E35C11B}">
    <text>1. Strong policies
5. Weak/shared/reused passwords</text>
  </threadedComment>
  <threadedComment ref="G42" dT="2026-04-07T01:55:55.64" personId="{00000000-0000-0000-0000-000000000000}" id="{9B3DD08F-1C9F-47F8-9814-7FED9DFB2B47}">
    <text>1. Minimal exposure
5. Access to customer/financial/ or other sensitive data.</text>
  </threadedComment>
  <threadedComment ref="C43" dT="2026-04-07T01:51:39.93" personId="{00000000-0000-0000-0000-000000000000}" id="{743663BF-7A35-4F45-AA19-2A689BEC2FD9}">
    <text>1. Sperate admin accounts used minimally
5. Admin accounts are used daily</text>
  </threadedComment>
  <threadedComment ref="G43" dT="2026-04-07T01:56:30.57" personId="{00000000-0000-0000-0000-000000000000}" id="{0D36D1B5-1D8E-4A61-B64C-2996D96E479E}">
    <text>1. Minimal disruption
5. Full business disruption possible</text>
  </threadedComment>
  <threadedComment ref="C52" dT="2026-04-07T02:21:49.54" personId="{00000000-0000-0000-0000-000000000000}" id="{9A074889-E4A4-46AB-BDBD-B4E6D02F5E5D}">
    <text>1. Managed EDR is active and alerts are reviewed
5. No centralized protection or Anti Virus</text>
  </threadedComment>
  <threadedComment ref="G52" dT="2026-04-07T02:37:54.24" personId="{00000000-0000-0000-0000-000000000000}" id="{E2B5EBFB-3090-408C-8B93-49AE79DED440}">
    <text>1. Limited to one device
5. Spreads across endpoints, shared folders, and servers</text>
  </threadedComment>
  <threadedComment ref="C53" dT="2026-04-07T02:23:02.27" personId="{00000000-0000-0000-0000-000000000000}" id="{F82AE568-1064-49B5-9F39-B4738261511D}">
    <text>1. Automatic updated are enabled and is regularly maintained
5. Updates are ignored</text>
  </threadedComment>
  <threadedComment ref="G53" dT="2026-04-07T02:39:18.33" personId="{00000000-0000-0000-0000-000000000000}" id="{842E9C1D-0C3A-490B-B10C-0B4316E1497C}">
    <text>1. There are tested Offline Backups
5. Backups are easily accessible over the network and are likely encrypted</text>
  </threadedComment>
  <threadedComment ref="C54" dT="2026-03-31T21:17:14.95" personId="{00000000-0000-0000-0000-000000000000}" id="{9BBA68F3-65F2-4D7F-A0BD-428C8342481C}">
    <text>1. Users have Standard user accounts
5. Most users are local admins</text>
  </threadedComment>
  <threadedComment ref="G54" dT="2026-04-07T02:40:36.49" personId="{00000000-0000-0000-0000-000000000000}" id="{C0EB9EF4-C6B1-42FA-84DC-83A5C471D409}">
    <text xml:space="preserve">1. Limited sync
5. Cloud drives are fully impacted </text>
  </threadedComment>
  <threadedComment ref="C55" dT="2026-04-07T02:34:48.04" personId="{00000000-0000-0000-0000-000000000000}" id="{2484E6BF-5C07-44CA-8499-67BDD39D5B9F}">
    <text>1. Email filtering + basic training
5. No filtering, no training</text>
  </threadedComment>
  <threadedComment ref="G55" dT="2026-04-07T02:41:33.38" personId="{00000000-0000-0000-0000-000000000000}" id="{1EA50E8D-8008-43D0-9FF0-E97E7DD3D6D0}">
    <text>1. Minor disruption
5. Major disruption</text>
  </threadedComment>
  <threadedComment ref="C56" dT="2026-04-07T02:35:21.49" personId="{00000000-0000-0000-0000-000000000000}" id="{14C61B38-39EC-4EB5-9CEA-DEAFC918FBCA}">
    <text>1. Alerts reviewed
5. No monitoring/logging</text>
  </threadedComment>
  <threadedComment ref="G56" dT="2026-04-07T02:43:15.13" personId="{00000000-0000-0000-0000-000000000000}" id="{B1E21266-CBB5-42FA-A3E3-E8B74EAF3816}">
    <text>1. No meaningful data exposed
5. Business ending data exposed</text>
  </threadedComment>
  <threadedComment ref="C65" dT="2026-04-07T03:13:09.82" personId="{00000000-0000-0000-0000-000000000000}" id="{186C5048-F8D9-4C24-A92E-9BB7F1681027}">
    <text>1. Locked access or controlled entry
5. Unrestricted access</text>
  </threadedComment>
  <threadedComment ref="G65" dT="2026-04-07T03:17:56.29" personId="{00000000-0000-0000-0000-000000000000}" id="{57E6C792-2DD7-47A9-BED2-1E427FA8B37F}">
    <text>1. Encrypted devices, minimal risk
5. Unencrypted devices with sensitive data.</text>
  </threadedComment>
  <threadedComment ref="C66" dT="2026-04-07T02:56:30.07" personId="{00000000-0000-0000-0000-000000000000}" id="{16B9A866-9EC6-444B-920B-FB12A8EDB566}">
    <text>1. Devices Locked or supervised
5. Devices left unattended</text>
  </threadedComment>
  <threadedComment ref="G66" dT="2026-04-07T03:18:29.29" personId="{00000000-0000-0000-0000-000000000000}" id="{69C26303-B331-49F1-9F7B-A40767E594B4}">
    <text>1. Minimal access even with entry
5. Direct access to internal systems</text>
  </threadedComment>
  <threadedComment ref="C67" dT="2026-04-07T03:15:57.98" personId="{00000000-0000-0000-0000-000000000000}" id="{AF315163-BCD8-46B8-9B74-3CCC63225474}">
    <text>1. Cameras or logs exist
5. No monitoring at all</text>
  </threadedComment>
  <threadedComment ref="G67" dT="2026-04-07T03:18:51.04" personId="{00000000-0000-0000-0000-000000000000}" id="{695420A3-C5CD-4AA0-903E-47A7CB027626}">
    <text>1. Easily replaceable
5. Critical systems lost</text>
  </threadedComment>
  <threadedComment ref="C68" dT="2026-04-07T03:16:23.41" personId="{00000000-0000-0000-0000-000000000000}" id="{C2EF455C-D2A5-4422-9A2B-3AB41CC2A940}">
    <text>1. Ports disabled or secured
5. Anyone can plug in and connect</text>
  </threadedComment>
  <threadedComment ref="G68" dT="2026-04-07T03:19:27.02" personId="{00000000-0000-0000-0000-000000000000}" id="{2AFE47B9-7F96-4870-B84E-3354E67C05A7}">
    <text>1. Infrastructure secured
5. Network equipment is easily accessible</text>
  </threadedComment>
  <threadedComment ref="C69" dT="2026-04-07T03:17:00.80" personId="{00000000-0000-0000-0000-000000000000}" id="{EF3AE152-6600-46C1-BD7B-2A9566D0F870}">
    <text>1. Drives are wiped
5. Devices discarded without data removal</text>
  </threadedComment>
  <threadedComment ref="G69" dT="2026-04-07T03:22:09.78" personId="{00000000-0000-0000-0000-000000000000}" id="{04D7F279-6D2A-4B99-B326-2E917D1FA16D}">
    <text>1. No major consequence
5. Breach triggers compliance issues, legal issues, or fines</text>
  </threadedComment>
  <threadedComment ref="C78" dT="2026-03-31T21:09:05.63" personId="{00000000-0000-0000-0000-000000000000}" id="{CFD39FBD-B837-4501-82CE-66CD0D207D74}">
    <text>1. Security review
5. No Vetting at all</text>
  </threadedComment>
  <threadedComment ref="G78" dT="2026-03-31T20:32:12.64" personId="{00000000-0000-0000-0000-000000000000}" id="{E2780C19-F67B-4953-9F13-EF8F4AE0DAEA}">
    <text>1. Minimal access
5. Broad access to systems or data</text>
  </threadedComment>
  <threadedComment ref="C79" dT="2026-04-07T04:11:47.97" personId="{00000000-0000-0000-0000-000000000000}" id="{83F3DA98-98BC-44DE-A483-179CD32654F0}">
    <text>1. Regularly reviewed
5. Old accounts remain active indefinitely</text>
  </threadedComment>
  <threadedComment ref="G79" dT="2026-03-31T20:44:57.01" personId="{00000000-0000-0000-0000-000000000000}" id="{DFF60E68-D9E3-4351-9FD4-81ED8193EC10}">
    <text>1. No sensitive data exposure
5. Payment/customer data handled externally</text>
  </threadedComment>
  <threadedComment ref="C80" dT="2026-03-31T21:17:14.95" personId="{00000000-0000-0000-0000-000000000000}" id="{8FB2BC64-359C-4DEF-9F25-A8D3F701D8B4}">
    <text>1. Some defined expectations
5. No requirements at all</text>
  </threadedComment>
  <threadedComment ref="G80" dT="2026-03-31T20:36:18.02" personId="{00000000-0000-0000-0000-000000000000}" id="{65A6201E-48FC-404B-AD09-805E7DBE6426}">
    <text>1. Easily replaceable
5. Critical dependancy</text>
  </threadedComment>
  <threadedComment ref="C81" dT="2026-04-07T03:29:46.02" personId="{00000000-0000-0000-0000-000000000000}" id="{0F1F9827-39A1-4890-A8F0-7CD6E6CFCD01}">
    <text>1. Access is logged and reviewed
5. No monitoring at all</text>
  </threadedComment>
  <threadedComment ref="G81" dT="2026-04-07T03:42:19.50" personId="{00000000-0000-0000-0000-000000000000}" id="{DCE1F72E-558E-4803-B802-3594B80104F4}">
    <text>1. No regulatory exposure
5. Legal consequences</text>
  </threadedComment>
  <threadedComment ref="C82" dT="2026-04-07T03:31:23.41" personId="{00000000-0000-0000-0000-000000000000}" id="{7FC97C7E-9D6D-48C2-A6B2-1E1065C8AAEB}">
    <text>1. IT approved tools only
5. Any tools allowed</text>
  </threadedComment>
  <threadedComment ref="G82" dT="2026-04-07T03:43:06.59" personId="{00000000-0000-0000-0000-000000000000}" id="{379C2857-7DCD-4863-9199-6E156E5A6B43}">
    <text>1. Redundancy exists
5. One vendor for everything</text>
  </threadedComment>
  <threadedComment ref="C91" dT="2026-03-31T21:09:05.63" personId="{00000000-0000-0000-0000-000000000000}" id="{D1A36E7F-120D-4B4E-83AE-C9A06C5B04D3}">
    <text>1. Segmentation in place
5. Flat network</text>
  </threadedComment>
  <threadedComment ref="G91" dT="2026-03-31T20:32:12.64" personId="{00000000-0000-0000-0000-000000000000}" id="{7FEFDA3E-31FD-4572-ACBB-A64C060BF503}">
    <text>1. No, there is strong isolation
5. Yes, there is easy access once inside</text>
  </threadedComment>
  <threadedComment ref="C92" dT="2026-03-31T21:14:36.05" personId="{00000000-0000-0000-0000-000000000000}" id="{B15E5A45-3541-43E1-A76C-82E043229FAC}">
    <text>1. Business grade firewall with rules that are reviewed
5. Consumer grade or default configuration router.</text>
  </threadedComment>
  <threadedComment ref="G92" dT="2026-03-31T20:44:57.01" personId="{00000000-0000-0000-0000-000000000000}" id="{F30B7276-4127-4FC3-A198-D993B4C1724E}">
    <text>1. Movement is restricted
5. Full network traversal possible</text>
  </threadedComment>
  <threadedComment ref="C93" dT="2026-03-31T21:17:14.95" personId="{00000000-0000-0000-0000-000000000000}" id="{23AA1C94-DE60-4949-8D95-DC1BFC774335}">
    <text>1. VPN + MFA required
5. Direct internet exposure</text>
  </threadedComment>
  <threadedComment ref="G93" dT="2026-03-31T20:36:18.02" personId="{00000000-0000-0000-0000-000000000000}" id="{2C24107D-5B24-4378-944F-CA8B03CC7E30}">
    <text xml:space="preserve">1. Restricted access
5. Widely accessible
</text>
  </threadedComment>
  <threadedComment ref="C94" dT="2026-04-07T02:02:33.74" personId="{00000000-0000-0000-0000-000000000000}" id="{D9A8490C-DD3C-42F3-9544-1272EBEC4281}">
    <text>1. Hardened systems
5. Many unnecessary services exposed</text>
  </threadedComment>
  <threadedComment ref="G94" dT="2026-04-07T02:17:12.93" personId="{00000000-0000-0000-0000-000000000000}" id="{ACC0BC6E-9A82-4E45-85AB-5D9215D458AF}">
    <text>1. Encrypted traffic enforced
5. Unencrypted/internal exposure</text>
  </threadedComment>
  <threadedComment ref="C95" dT="2026-04-07T02:03:15.85" personId="{00000000-0000-0000-0000-000000000000}" id="{B983D5FB-AC7C-434C-9406-E8E98E753FD3}">
    <text>1. Logs and alerts are kept and viewed
5. No monitoring</text>
  </threadedComment>
  <threadedComment ref="G95" dT="2026-04-07T02:17:46.54" personId="{00000000-0000-0000-0000-000000000000}" id="{C733B653-31F0-4C57-9805-5BDA3BC7EC6F}">
    <text>1. Minimal disruption
5. Major disruption</text>
  </threadedComment>
  <threadedComment ref="C104" dT="2026-03-31T21:09:05.63" personId="{00000000-0000-0000-0000-000000000000}" id="{AD8D8D10-869B-4338-88E6-B3A85E2CD6EF}">
    <text>1. Documented plan exists
5. No plan at all</text>
  </threadedComment>
  <threadedComment ref="G104" dT="2026-03-31T20:32:12.64" personId="{00000000-0000-0000-0000-000000000000}" id="{E91B71F7-11FA-4534-AD47-52F60E5BD115}">
    <text>1. Within hours
5. Days or weeks</text>
  </threadedComment>
  <threadedComment ref="C105" dT="2026-03-31T21:14:36.05" personId="{00000000-0000-0000-0000-000000000000}" id="{D05D656E-5D10-47FF-A2A6-EAFB7B77DD77}">
    <text>1. Clear reporting process
5. No Awareness</text>
  </threadedComment>
  <threadedComment ref="G105" dT="2026-03-31T20:44:57.01" personId="{00000000-0000-0000-0000-000000000000}" id="{BC5A749D-181B-4033-A3F1-AA1C86AABD3F}">
    <text>1. Rapid containment
5. Slow or uncontrolled spread</text>
  </threadedComment>
  <threadedComment ref="C106" dT="2026-03-31T21:17:14.95" personId="{00000000-0000-0000-0000-000000000000}" id="{8C698E9C-F4B8-4566-9073-DD01D8C2E559}">
    <text>1. Logs are kept and are accessible
5. Little to no logging</text>
  </threadedComment>
  <threadedComment ref="G106" dT="2026-03-31T20:36:18.02" personId="{00000000-0000-0000-0000-000000000000}" id="{8258572C-477A-4B80-BCB9-F9831E74AF49}">
    <text>1. Minimal additional damage
5. Significant escalation</text>
  </threadedComment>
  <threadedComment ref="C107" dT="2026-04-07T04:01:14.19" personId="{00000000-0000-0000-0000-000000000000}" id="{7746F3BB-0BCC-437E-9FEA-E85731DDCB2F}">
    <text>1. At least informal testing
5. Never tested</text>
  </threadedComment>
  <threadedComment ref="G107" dT="2026-04-07T04:07:33.20" personId="{00000000-0000-0000-0000-000000000000}" id="{FCD09CA3-DB63-4418-938B-8D568F54E90A}">
    <text>1. Communication plans exist
5. No abilty to coordinate response</text>
  </threadedComment>
  <threadedComment ref="C108" dT="2026-04-07T04:01:38.71" personId="{00000000-0000-0000-0000-000000000000}" id="{A4BB237A-B9C7-48C9-A526-5710DC1830AE}">
    <text>1. Contacts ready
5. No support plan</text>
  </threadedComment>
  <threadedComment ref="G108" dT="2026-04-07T04:08:08.83" personId="{00000000-0000-0000-0000-000000000000}" id="{C25876F2-5F82-42C5-B7B9-6489C739592E}">
    <text>1. Minimal effect
5. Major increase in liability or fines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autoPageBreaks="0" fitToPage="1"/>
  </sheetPr>
  <dimension ref="B1:L82"/>
  <sheetViews>
    <sheetView showGridLines="0" zoomScaleNormal="100" workbookViewId="0">
      <selection activeCell="I1" sqref="I1"/>
    </sheetView>
  </sheetViews>
  <sheetFormatPr defaultColWidth="8.77734375" defaultRowHeight="30" customHeight="1" x14ac:dyDescent="0.3"/>
  <cols>
    <col min="1" max="1" width="2.77734375" style="2" customWidth="1"/>
    <col min="2" max="4" width="25.77734375" style="2" customWidth="1"/>
    <col min="5" max="5" width="22.77734375" style="2" customWidth="1"/>
    <col min="6" max="7" width="25.77734375" style="2" customWidth="1"/>
    <col min="8" max="12" width="20.77734375" style="2" customWidth="1"/>
    <col min="13" max="13" width="2.77734375" style="2" customWidth="1"/>
    <col min="14" max="16384" width="8.77734375" style="2"/>
  </cols>
  <sheetData>
    <row r="1" spans="2:12" s="1" customFormat="1" ht="60" customHeight="1" x14ac:dyDescent="0.8">
      <c r="B1" s="13" t="s">
        <v>10</v>
      </c>
      <c r="C1" s="89" t="s">
        <v>133</v>
      </c>
      <c r="L1" s="6"/>
    </row>
    <row r="2" spans="2:12" ht="40.15" customHeight="1" x14ac:dyDescent="0.3">
      <c r="B2" s="15" t="s">
        <v>8</v>
      </c>
      <c r="I2" s="3"/>
      <c r="J2" s="3"/>
      <c r="L2" s="4"/>
    </row>
    <row r="3" spans="2:12" ht="25.15" customHeight="1" x14ac:dyDescent="0.3">
      <c r="B3" s="14" t="s">
        <v>13</v>
      </c>
      <c r="C3" s="92" t="s">
        <v>14</v>
      </c>
      <c r="D3" s="92"/>
      <c r="E3" s="16"/>
      <c r="G3" s="14" t="s">
        <v>9</v>
      </c>
      <c r="H3" s="26">
        <v>45931</v>
      </c>
      <c r="J3" s="20"/>
    </row>
    <row r="4" spans="2:12" ht="30" customHeight="1" thickBot="1" x14ac:dyDescent="0.35">
      <c r="B4" s="8"/>
      <c r="C4" s="9"/>
      <c r="D4" s="9"/>
      <c r="E4" s="10"/>
      <c r="F4" s="9"/>
      <c r="G4" s="9"/>
      <c r="H4" s="8"/>
      <c r="I4" s="11"/>
      <c r="J4" s="11"/>
      <c r="K4" s="12"/>
      <c r="L4" s="12"/>
    </row>
    <row r="5" spans="2:12" ht="25.5" customHeight="1" x14ac:dyDescent="0.35">
      <c r="B5" s="17" t="s">
        <v>17</v>
      </c>
    </row>
    <row r="6" spans="2:12" ht="30" customHeight="1" x14ac:dyDescent="0.3">
      <c r="B6" s="41" t="s">
        <v>20</v>
      </c>
      <c r="C6" s="90" t="s">
        <v>16</v>
      </c>
      <c r="D6" s="91"/>
      <c r="E6" s="41" t="s">
        <v>18</v>
      </c>
      <c r="F6" s="90" t="s">
        <v>21</v>
      </c>
      <c r="G6" s="90"/>
      <c r="H6" s="18"/>
      <c r="I6" s="19"/>
      <c r="J6" s="7"/>
    </row>
    <row r="7" spans="2:12" ht="10.5" customHeight="1" x14ac:dyDescent="0.3">
      <c r="B7" s="18"/>
      <c r="C7" s="40"/>
      <c r="D7" s="19"/>
      <c r="E7" s="18"/>
      <c r="F7" s="40"/>
      <c r="G7" s="7"/>
      <c r="H7" s="18"/>
      <c r="I7" s="19"/>
      <c r="J7" s="7"/>
    </row>
    <row r="8" spans="2:12" ht="30" customHeight="1" x14ac:dyDescent="0.3">
      <c r="B8" s="41" t="s">
        <v>19</v>
      </c>
      <c r="C8" s="90" t="s">
        <v>15</v>
      </c>
      <c r="D8" s="91"/>
      <c r="E8" s="41" t="s">
        <v>28</v>
      </c>
      <c r="F8" s="90" t="s">
        <v>27</v>
      </c>
      <c r="G8" s="91"/>
      <c r="H8" s="18"/>
      <c r="I8" s="19"/>
      <c r="J8" s="7"/>
    </row>
    <row r="10" spans="2:12" ht="63" customHeight="1" x14ac:dyDescent="0.3">
      <c r="B10" s="30" t="s">
        <v>3</v>
      </c>
      <c r="C10" s="30" t="s">
        <v>0</v>
      </c>
      <c r="D10" s="30" t="s">
        <v>4</v>
      </c>
      <c r="E10" s="30" t="s">
        <v>5</v>
      </c>
      <c r="F10" s="30" t="s">
        <v>6</v>
      </c>
      <c r="G10" s="31" t="s">
        <v>7</v>
      </c>
    </row>
    <row r="11" spans="2:12" ht="30" customHeight="1" x14ac:dyDescent="0.3">
      <c r="B11" s="33"/>
      <c r="C11" s="33"/>
      <c r="D11" s="39"/>
      <c r="E11" s="33"/>
      <c r="F11" s="33"/>
      <c r="G11" s="33"/>
    </row>
    <row r="12" spans="2:12" ht="30" customHeight="1" x14ac:dyDescent="0.3">
      <c r="B12" s="33"/>
      <c r="C12" s="39"/>
      <c r="D12" s="33"/>
      <c r="E12" s="39"/>
      <c r="F12" s="39"/>
      <c r="G12" s="39"/>
    </row>
    <row r="13" spans="2:12" ht="30" customHeight="1" x14ac:dyDescent="0.3">
      <c r="B13" s="33"/>
      <c r="C13" s="33"/>
      <c r="D13" s="33"/>
      <c r="E13" s="33"/>
      <c r="F13" s="33"/>
      <c r="G13" s="33"/>
    </row>
    <row r="14" spans="2:12" ht="30" customHeight="1" x14ac:dyDescent="0.3">
      <c r="B14" s="33"/>
      <c r="C14" s="33"/>
      <c r="D14" s="33"/>
      <c r="E14" s="33"/>
      <c r="F14" s="33"/>
      <c r="G14" s="33"/>
    </row>
    <row r="15" spans="2:12" ht="30" customHeight="1" x14ac:dyDescent="0.3">
      <c r="B15" s="33"/>
      <c r="C15" s="33"/>
      <c r="D15" s="33"/>
      <c r="E15" s="33"/>
      <c r="F15" s="33"/>
      <c r="G15" s="33"/>
    </row>
    <row r="16" spans="2:12" ht="30" customHeight="1" x14ac:dyDescent="0.3">
      <c r="B16" s="33"/>
      <c r="C16" s="33"/>
      <c r="D16" s="33"/>
      <c r="E16" s="33"/>
      <c r="F16" s="33"/>
      <c r="G16" s="33"/>
    </row>
    <row r="17" spans="2:7" ht="30" customHeight="1" x14ac:dyDescent="0.3">
      <c r="B17" s="33"/>
      <c r="C17" s="33"/>
      <c r="D17" s="33"/>
      <c r="E17" s="33"/>
      <c r="F17" s="33"/>
      <c r="G17" s="33"/>
    </row>
    <row r="18" spans="2:7" ht="30" customHeight="1" x14ac:dyDescent="0.3">
      <c r="B18" s="33"/>
      <c r="C18" s="33"/>
      <c r="D18" s="33"/>
      <c r="E18" s="33"/>
      <c r="F18" s="33"/>
      <c r="G18" s="33"/>
    </row>
    <row r="19" spans="2:7" ht="30" customHeight="1" x14ac:dyDescent="0.3">
      <c r="B19" s="33"/>
      <c r="C19" s="33"/>
      <c r="D19" s="33"/>
      <c r="E19" s="33"/>
      <c r="F19" s="33"/>
      <c r="G19" s="33"/>
    </row>
    <row r="20" spans="2:7" ht="30" customHeight="1" x14ac:dyDescent="0.3">
      <c r="B20" s="33"/>
      <c r="C20" s="33"/>
      <c r="D20" s="33"/>
      <c r="E20" s="33"/>
      <c r="F20" s="33"/>
      <c r="G20" s="33"/>
    </row>
    <row r="21" spans="2:7" ht="30" customHeight="1" x14ac:dyDescent="0.3">
      <c r="B21" s="33"/>
      <c r="C21" s="33"/>
      <c r="D21" s="33"/>
      <c r="E21" s="33"/>
      <c r="F21" s="33"/>
      <c r="G21" s="33"/>
    </row>
    <row r="22" spans="2:7" ht="30" customHeight="1" x14ac:dyDescent="0.3">
      <c r="B22" s="33"/>
      <c r="C22" s="33"/>
      <c r="D22" s="33"/>
      <c r="E22" s="33"/>
      <c r="F22" s="33"/>
      <c r="G22" s="33"/>
    </row>
    <row r="23" spans="2:7" ht="30" customHeight="1" x14ac:dyDescent="0.3">
      <c r="B23" s="33"/>
      <c r="C23" s="33"/>
      <c r="D23" s="33"/>
      <c r="E23" s="33"/>
      <c r="F23" s="33"/>
      <c r="G23" s="33"/>
    </row>
    <row r="24" spans="2:7" ht="30" customHeight="1" x14ac:dyDescent="0.3">
      <c r="B24" s="33"/>
      <c r="C24" s="33"/>
      <c r="D24" s="33"/>
      <c r="E24" s="33"/>
      <c r="F24" s="33"/>
      <c r="G24" s="33"/>
    </row>
    <row r="25" spans="2:7" ht="30" customHeight="1" x14ac:dyDescent="0.3">
      <c r="B25" s="33"/>
      <c r="C25" s="33"/>
      <c r="D25" s="33"/>
      <c r="E25" s="33"/>
      <c r="F25" s="33"/>
      <c r="G25" s="33"/>
    </row>
    <row r="26" spans="2:7" ht="30" customHeight="1" x14ac:dyDescent="0.3">
      <c r="B26" s="33"/>
      <c r="C26" s="33"/>
      <c r="D26" s="33"/>
      <c r="E26" s="33"/>
      <c r="F26" s="33"/>
      <c r="G26" s="33"/>
    </row>
    <row r="27" spans="2:7" ht="30" customHeight="1" x14ac:dyDescent="0.3">
      <c r="B27" s="33"/>
      <c r="C27" s="33"/>
      <c r="D27" s="33"/>
      <c r="E27" s="33"/>
      <c r="F27" s="33"/>
      <c r="G27" s="33"/>
    </row>
    <row r="28" spans="2:7" ht="30" customHeight="1" x14ac:dyDescent="0.3">
      <c r="B28" s="33"/>
      <c r="C28" s="33"/>
      <c r="D28" s="33"/>
      <c r="E28" s="33"/>
      <c r="F28" s="33"/>
      <c r="G28" s="33"/>
    </row>
    <row r="29" spans="2:7" ht="30" customHeight="1" x14ac:dyDescent="0.3">
      <c r="B29" s="33"/>
      <c r="C29" s="33"/>
      <c r="D29" s="33"/>
      <c r="E29" s="33"/>
      <c r="F29" s="33"/>
      <c r="G29" s="33"/>
    </row>
    <row r="30" spans="2:7" ht="30" customHeight="1" x14ac:dyDescent="0.3">
      <c r="B30" s="33"/>
      <c r="C30" s="33"/>
      <c r="D30" s="33"/>
      <c r="E30" s="33"/>
      <c r="F30" s="33"/>
      <c r="G30" s="33"/>
    </row>
    <row r="31" spans="2:7" ht="30" customHeight="1" x14ac:dyDescent="0.3">
      <c r="B31" s="33"/>
      <c r="C31" s="33"/>
      <c r="D31" s="33"/>
      <c r="E31" s="33"/>
      <c r="F31" s="33"/>
      <c r="G31" s="33"/>
    </row>
    <row r="32" spans="2:7" ht="30" customHeight="1" x14ac:dyDescent="0.3">
      <c r="B32" s="33"/>
      <c r="C32" s="33"/>
      <c r="D32" s="33"/>
      <c r="E32" s="33"/>
      <c r="F32" s="33"/>
      <c r="G32" s="33"/>
    </row>
    <row r="33" spans="2:7" ht="30" customHeight="1" x14ac:dyDescent="0.3">
      <c r="B33" s="33"/>
      <c r="C33" s="33"/>
      <c r="D33" s="33"/>
      <c r="E33" s="33"/>
      <c r="F33" s="33"/>
      <c r="G33" s="33"/>
    </row>
    <row r="34" spans="2:7" ht="30" customHeight="1" x14ac:dyDescent="0.3">
      <c r="B34" s="33"/>
      <c r="C34" s="33"/>
      <c r="D34" s="33"/>
      <c r="E34" s="33"/>
      <c r="F34" s="33"/>
      <c r="G34" s="33"/>
    </row>
    <row r="35" spans="2:7" ht="30" customHeight="1" x14ac:dyDescent="0.3">
      <c r="B35" s="33"/>
      <c r="C35" s="33"/>
      <c r="D35" s="33"/>
      <c r="E35" s="33"/>
      <c r="F35" s="33"/>
      <c r="G35" s="33"/>
    </row>
    <row r="36" spans="2:7" ht="30" customHeight="1" x14ac:dyDescent="0.3">
      <c r="B36" s="33"/>
      <c r="C36" s="33"/>
      <c r="D36" s="33"/>
      <c r="E36" s="33"/>
      <c r="F36" s="33"/>
      <c r="G36" s="33"/>
    </row>
    <row r="37" spans="2:7" ht="30" customHeight="1" x14ac:dyDescent="0.3">
      <c r="B37" s="33"/>
      <c r="C37" s="33"/>
      <c r="D37" s="33"/>
      <c r="E37" s="33"/>
      <c r="F37" s="33"/>
      <c r="G37" s="33"/>
    </row>
    <row r="38" spans="2:7" ht="30" customHeight="1" x14ac:dyDescent="0.3">
      <c r="B38" s="33"/>
      <c r="C38" s="33"/>
      <c r="D38" s="33"/>
      <c r="E38" s="33"/>
      <c r="F38" s="33"/>
      <c r="G38" s="33"/>
    </row>
    <row r="39" spans="2:7" ht="30" customHeight="1" x14ac:dyDescent="0.3">
      <c r="B39" s="33"/>
      <c r="C39" s="33"/>
      <c r="D39" s="33"/>
      <c r="E39" s="33"/>
      <c r="F39" s="33"/>
      <c r="G39" s="33"/>
    </row>
    <row r="40" spans="2:7" ht="30" customHeight="1" x14ac:dyDescent="0.3">
      <c r="B40" s="33"/>
      <c r="C40" s="33"/>
      <c r="D40" s="33"/>
      <c r="E40" s="33"/>
      <c r="F40" s="33"/>
      <c r="G40" s="33"/>
    </row>
    <row r="41" spans="2:7" ht="30" customHeight="1" x14ac:dyDescent="0.3">
      <c r="B41" s="33"/>
      <c r="C41" s="33"/>
      <c r="D41" s="33"/>
      <c r="E41" s="33"/>
      <c r="F41" s="33"/>
      <c r="G41" s="33"/>
    </row>
    <row r="42" spans="2:7" ht="30" customHeight="1" x14ac:dyDescent="0.3">
      <c r="B42" s="33"/>
      <c r="C42" s="33"/>
      <c r="D42" s="33"/>
      <c r="E42" s="33"/>
      <c r="F42" s="33"/>
      <c r="G42" s="33"/>
    </row>
    <row r="43" spans="2:7" ht="30" customHeight="1" x14ac:dyDescent="0.3">
      <c r="B43" s="33"/>
      <c r="C43" s="33"/>
      <c r="D43" s="33"/>
      <c r="E43" s="33"/>
      <c r="F43" s="33"/>
      <c r="G43" s="33"/>
    </row>
    <row r="44" spans="2:7" ht="30" customHeight="1" x14ac:dyDescent="0.3">
      <c r="B44" s="33"/>
      <c r="C44" s="33"/>
      <c r="D44" s="33"/>
      <c r="E44" s="33"/>
      <c r="F44" s="33"/>
      <c r="G44" s="33"/>
    </row>
    <row r="45" spans="2:7" ht="30" customHeight="1" x14ac:dyDescent="0.3">
      <c r="B45" s="33"/>
      <c r="C45" s="33"/>
      <c r="D45" s="33"/>
      <c r="E45" s="33"/>
      <c r="F45" s="33"/>
      <c r="G45" s="33"/>
    </row>
    <row r="46" spans="2:7" ht="30" customHeight="1" x14ac:dyDescent="0.3">
      <c r="B46" s="33"/>
      <c r="C46" s="33"/>
      <c r="D46" s="33"/>
      <c r="E46" s="33"/>
      <c r="F46" s="33"/>
      <c r="G46" s="33"/>
    </row>
    <row r="47" spans="2:7" ht="30" customHeight="1" x14ac:dyDescent="0.3">
      <c r="B47" s="33"/>
      <c r="C47" s="33"/>
      <c r="D47" s="33"/>
      <c r="E47" s="33"/>
      <c r="F47" s="33"/>
      <c r="G47" s="33"/>
    </row>
    <row r="48" spans="2:7" ht="30" customHeight="1" x14ac:dyDescent="0.3">
      <c r="B48" s="33"/>
      <c r="C48" s="33"/>
      <c r="D48" s="33"/>
      <c r="E48" s="33"/>
      <c r="F48" s="33"/>
      <c r="G48" s="33"/>
    </row>
    <row r="49" spans="2:11" ht="30" customHeight="1" x14ac:dyDescent="0.3">
      <c r="B49" s="33"/>
      <c r="C49" s="33"/>
      <c r="D49" s="33"/>
      <c r="E49" s="33"/>
      <c r="F49" s="33"/>
      <c r="G49" s="33"/>
    </row>
    <row r="50" spans="2:11" ht="30" customHeight="1" x14ac:dyDescent="0.3">
      <c r="B50" s="33"/>
      <c r="C50" s="33"/>
      <c r="D50" s="33"/>
      <c r="E50" s="33"/>
      <c r="F50" s="33"/>
      <c r="G50" s="33"/>
    </row>
    <row r="51" spans="2:11" ht="30" customHeight="1" x14ac:dyDescent="0.3">
      <c r="B51" s="33"/>
      <c r="C51" s="33"/>
      <c r="D51" s="33"/>
      <c r="E51" s="33"/>
      <c r="F51" s="33"/>
      <c r="G51" s="33"/>
    </row>
    <row r="53" spans="2:11" ht="30" customHeight="1" thickBot="1" x14ac:dyDescent="0.4">
      <c r="B53" s="21" t="s">
        <v>1</v>
      </c>
      <c r="C53" s="43"/>
      <c r="D53" s="43"/>
      <c r="E53" s="22" t="s">
        <v>2</v>
      </c>
      <c r="F53" s="44"/>
      <c r="G53" s="44"/>
      <c r="H53" s="22"/>
      <c r="K53" s="25"/>
    </row>
    <row r="54" spans="2:11" ht="30" customHeight="1" thickBot="1" x14ac:dyDescent="0.35">
      <c r="C54" s="34"/>
      <c r="D54" s="34"/>
      <c r="E54" s="5"/>
      <c r="F54" s="24"/>
      <c r="G54" s="24"/>
      <c r="H54" s="5"/>
      <c r="K54" s="25"/>
    </row>
    <row r="56" spans="2:11" ht="30" customHeight="1" x14ac:dyDescent="0.3">
      <c r="B56" s="35" t="s">
        <v>3</v>
      </c>
      <c r="C56" s="36" t="s">
        <v>0</v>
      </c>
      <c r="D56" s="36" t="s">
        <v>4</v>
      </c>
    </row>
    <row r="57" spans="2:11" ht="30" customHeight="1" x14ac:dyDescent="0.3">
      <c r="B57" s="37">
        <v>1</v>
      </c>
      <c r="C57" s="38" t="s">
        <v>12</v>
      </c>
      <c r="D57" s="38" t="s">
        <v>11</v>
      </c>
    </row>
    <row r="58" spans="2:11" ht="30" customHeight="1" x14ac:dyDescent="0.3">
      <c r="B58" s="37"/>
      <c r="C58" s="38"/>
      <c r="D58" s="38"/>
    </row>
    <row r="59" spans="2:11" ht="30" customHeight="1" x14ac:dyDescent="0.3">
      <c r="B59" s="37"/>
      <c r="C59" s="38"/>
      <c r="D59" s="38"/>
    </row>
    <row r="60" spans="2:11" ht="30" customHeight="1" x14ac:dyDescent="0.3">
      <c r="B60" s="37"/>
      <c r="C60" s="38"/>
      <c r="D60" s="38"/>
    </row>
    <row r="61" spans="2:11" ht="30" customHeight="1" x14ac:dyDescent="0.3">
      <c r="B61" s="37"/>
      <c r="C61" s="38"/>
      <c r="D61" s="38"/>
    </row>
    <row r="62" spans="2:11" ht="30" customHeight="1" x14ac:dyDescent="0.3">
      <c r="B62" s="37"/>
      <c r="C62" s="38"/>
      <c r="D62" s="38"/>
    </row>
    <row r="81" spans="2:12" ht="30" customHeight="1" x14ac:dyDescent="0.3">
      <c r="B81" s="27"/>
      <c r="C81" s="28"/>
      <c r="D81" s="28"/>
      <c r="E81" s="28"/>
      <c r="F81" s="29"/>
      <c r="G81" s="29"/>
      <c r="H81" s="29"/>
      <c r="I81" s="29"/>
      <c r="J81" s="29"/>
      <c r="K81" s="29"/>
      <c r="L81" s="32"/>
    </row>
    <row r="82" spans="2:12" ht="30" customHeight="1" x14ac:dyDescent="0.3">
      <c r="C82" s="5"/>
      <c r="D82" s="5"/>
      <c r="E82" s="5"/>
      <c r="F82" s="5"/>
      <c r="G82" s="5"/>
      <c r="H82" s="5"/>
      <c r="I82" s="5"/>
      <c r="K82" s="25"/>
    </row>
  </sheetData>
  <mergeCells count="5">
    <mergeCell ref="F6:G6"/>
    <mergeCell ref="F8:G8"/>
    <mergeCell ref="C3:D3"/>
    <mergeCell ref="C6:D6"/>
    <mergeCell ref="C8:D8"/>
  </mergeCells>
  <dataValidations xWindow="514" yWindow="467" count="4">
    <dataValidation allowBlank="1" showInputMessage="1" showErrorMessage="1" prompt="Track expenses in this Expense Report worksheet. Enter values in various expense categories in cells B9 to K18 and in Expense Data table." sqref="A1" xr:uid="{00000000-0002-0000-0000-000000000000}"/>
    <dataValidation allowBlank="1" showErrorMessage="1" sqref="B16:D16 B25:D25 B34:D34 B43:D43 B86:L113 B56:D62 B53:C55 B63:C82 B47:E51 B44:E45 B35:E36 B26:E27 B38:E42 B29:E33 B20:E24 B17:E18 B1:E15 J53:L54 I55:L82 D53:H82 H4:L9 J3:L3 G3:H3 F1:L2 F4:F10 G4:G5 G7 G9:G10" xr:uid="{03D7F22C-6EEA-4577-9924-4898FD1952E3}"/>
    <dataValidation type="list" allowBlank="1" showErrorMessage="1" sqref="F11:F51" xr:uid="{20A7AEF9-7558-46E8-9EFB-D419BEEE8D15}">
      <formula1>"Public, Internal, Confidential, Restricted"</formula1>
    </dataValidation>
    <dataValidation type="list" allowBlank="1" showErrorMessage="1" sqref="G11:G51" xr:uid="{8D29E154-7831-4306-AE31-D54CF7F50108}">
      <formula1>"Low, Medium, High"</formula1>
    </dataValidation>
  </dataValidations>
  <printOptions horizontalCentered="1"/>
  <pageMargins left="0.4" right="0.4" top="0.4" bottom="0.4" header="0.3" footer="0.3"/>
  <pageSetup scale="85" fitToHeight="0" orientation="landscape" horizontalDpi="4294967293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B654-E960-4479-9D30-615FACD2E822}">
  <sheetPr>
    <tabColor theme="4" tint="0.79998168889431442"/>
    <pageSetUpPr autoPageBreaks="0" fitToPage="1"/>
  </sheetPr>
  <dimension ref="A1:L117"/>
  <sheetViews>
    <sheetView showGridLines="0" tabSelected="1" topLeftCell="A2" zoomScale="89" zoomScaleNormal="89" workbookViewId="0">
      <selection activeCell="L12" sqref="L12"/>
    </sheetView>
  </sheetViews>
  <sheetFormatPr defaultColWidth="8.77734375" defaultRowHeight="30" customHeight="1" x14ac:dyDescent="0.3"/>
  <cols>
    <col min="1" max="1" width="2.77734375" style="2" customWidth="1"/>
    <col min="2" max="2" width="30.77734375" style="2" customWidth="1"/>
    <col min="3" max="5" width="25.77734375" style="2" customWidth="1"/>
    <col min="6" max="6" width="30.77734375" style="2" customWidth="1"/>
    <col min="7" max="8" width="25.77734375" style="2" customWidth="1"/>
    <col min="9" max="12" width="20.77734375" style="2" customWidth="1"/>
    <col min="13" max="13" width="2.77734375" style="2" customWidth="1"/>
    <col min="14" max="16384" width="8.77734375" style="2"/>
  </cols>
  <sheetData>
    <row r="1" spans="1:12" s="1" customFormat="1" ht="60" customHeight="1" x14ac:dyDescent="0.8">
      <c r="B1" s="13" t="s">
        <v>10</v>
      </c>
      <c r="L1" s="6"/>
    </row>
    <row r="2" spans="1:12" ht="40.15" customHeight="1" x14ac:dyDescent="0.3">
      <c r="B2" s="15" t="s">
        <v>37</v>
      </c>
      <c r="I2" s="3"/>
      <c r="J2" s="3"/>
      <c r="L2" s="4"/>
    </row>
    <row r="3" spans="1:12" ht="25.15" customHeight="1" x14ac:dyDescent="0.3">
      <c r="B3" s="14" t="s">
        <v>13</v>
      </c>
      <c r="C3" s="92" t="s">
        <v>14</v>
      </c>
      <c r="D3" s="92"/>
      <c r="E3" s="16"/>
      <c r="F3" s="108"/>
      <c r="G3" s="108"/>
      <c r="H3" s="14" t="s">
        <v>9</v>
      </c>
      <c r="I3" s="26">
        <v>45931</v>
      </c>
      <c r="J3" s="20"/>
    </row>
    <row r="4" spans="1:12" ht="30" customHeight="1" thickBot="1" x14ac:dyDescent="0.35">
      <c r="B4" s="8"/>
      <c r="C4" s="9"/>
      <c r="D4" s="9"/>
      <c r="E4" s="10"/>
      <c r="F4" s="9"/>
      <c r="G4" s="9"/>
      <c r="H4" s="8"/>
      <c r="I4" s="11"/>
      <c r="J4" s="11"/>
      <c r="K4" s="12"/>
      <c r="L4" s="12"/>
    </row>
    <row r="5" spans="1:12" ht="25.5" customHeight="1" x14ac:dyDescent="0.35">
      <c r="B5" s="17" t="s">
        <v>38</v>
      </c>
    </row>
    <row r="6" spans="1:12" ht="30" customHeight="1" x14ac:dyDescent="0.3">
      <c r="B6" s="41" t="s">
        <v>39</v>
      </c>
      <c r="C6" s="42" t="s">
        <v>40</v>
      </c>
      <c r="D6" s="74" t="s">
        <v>43</v>
      </c>
      <c r="E6" s="42" t="s">
        <v>70</v>
      </c>
      <c r="F6" s="41" t="s">
        <v>131</v>
      </c>
      <c r="G6" s="42" t="s">
        <v>132</v>
      </c>
      <c r="H6" s="73"/>
    </row>
    <row r="7" spans="1:12" ht="10.5" customHeight="1" x14ac:dyDescent="0.3">
      <c r="B7" s="18"/>
      <c r="C7" s="73"/>
      <c r="D7" s="18"/>
      <c r="E7" s="73"/>
      <c r="F7" s="18"/>
      <c r="G7" s="73"/>
      <c r="H7" s="73"/>
    </row>
    <row r="8" spans="1:12" ht="30" customHeight="1" x14ac:dyDescent="0.3">
      <c r="B8" s="41" t="s">
        <v>44</v>
      </c>
      <c r="C8" s="42" t="s">
        <v>45</v>
      </c>
      <c r="D8" s="41" t="s">
        <v>46</v>
      </c>
      <c r="E8" s="42" t="s">
        <v>47</v>
      </c>
      <c r="F8" s="41" t="s">
        <v>48</v>
      </c>
      <c r="G8" s="42" t="s">
        <v>49</v>
      </c>
      <c r="H8" s="7"/>
    </row>
    <row r="9" spans="1:12" ht="30" customHeight="1" x14ac:dyDescent="0.3">
      <c r="B9" s="41"/>
      <c r="C9" s="42"/>
      <c r="D9" s="63"/>
      <c r="E9" s="63"/>
      <c r="F9" s="63"/>
      <c r="G9" s="63"/>
      <c r="H9" s="63"/>
    </row>
    <row r="10" spans="1:12" ht="30" customHeight="1" x14ac:dyDescent="0.3">
      <c r="B10" s="102" t="s">
        <v>54</v>
      </c>
      <c r="C10" s="103"/>
      <c r="D10" s="103"/>
      <c r="E10" s="103"/>
      <c r="F10" s="103"/>
      <c r="G10" s="103"/>
      <c r="H10" s="104"/>
    </row>
    <row r="11" spans="1:12" ht="30" customHeight="1" x14ac:dyDescent="0.3">
      <c r="A11" s="65"/>
      <c r="B11" s="105" t="s">
        <v>41</v>
      </c>
      <c r="C11" s="106"/>
      <c r="D11" s="107"/>
      <c r="E11" s="72"/>
      <c r="F11" s="99" t="s">
        <v>42</v>
      </c>
      <c r="G11" s="100"/>
      <c r="H11" s="101"/>
    </row>
    <row r="12" spans="1:12" ht="50.25" customHeight="1" x14ac:dyDescent="0.3">
      <c r="B12" s="69" t="s">
        <v>30</v>
      </c>
      <c r="C12" s="70" t="s">
        <v>32</v>
      </c>
      <c r="D12" s="71" t="s">
        <v>33</v>
      </c>
      <c r="E12" s="66"/>
      <c r="F12" s="49" t="s">
        <v>30</v>
      </c>
      <c r="G12" s="49" t="s">
        <v>32</v>
      </c>
      <c r="H12" s="50" t="s">
        <v>33</v>
      </c>
      <c r="I12" s="5"/>
      <c r="K12" s="25"/>
    </row>
    <row r="13" spans="1:12" ht="50.25" customHeight="1" x14ac:dyDescent="0.3">
      <c r="A13" s="52"/>
      <c r="B13" s="67" t="s">
        <v>22</v>
      </c>
      <c r="C13" s="48"/>
      <c r="D13" s="68"/>
      <c r="E13" s="64"/>
      <c r="F13" s="46" t="s">
        <v>35</v>
      </c>
      <c r="G13" s="56"/>
      <c r="H13" s="53"/>
      <c r="K13" s="25"/>
    </row>
    <row r="14" spans="1:12" ht="50.25" customHeight="1" x14ac:dyDescent="0.3">
      <c r="A14" s="52"/>
      <c r="B14" s="58" t="s">
        <v>57</v>
      </c>
      <c r="C14" s="47"/>
      <c r="D14" s="54"/>
      <c r="E14" s="64"/>
      <c r="F14" s="51" t="s">
        <v>23</v>
      </c>
      <c r="G14" s="45"/>
      <c r="H14" s="54"/>
      <c r="K14" s="25"/>
    </row>
    <row r="15" spans="1:12" ht="50.25" customHeight="1" x14ac:dyDescent="0.3">
      <c r="A15" s="52"/>
      <c r="B15" s="59" t="s">
        <v>24</v>
      </c>
      <c r="C15" s="47"/>
      <c r="D15" s="54"/>
      <c r="E15" s="64"/>
      <c r="F15" s="47" t="s">
        <v>34</v>
      </c>
      <c r="H15" s="54"/>
    </row>
    <row r="16" spans="1:12" ht="50.25" customHeight="1" x14ac:dyDescent="0.3">
      <c r="A16" s="52"/>
      <c r="B16" s="58" t="s">
        <v>25</v>
      </c>
      <c r="C16" s="47"/>
      <c r="D16" s="54"/>
      <c r="E16" s="64"/>
      <c r="F16" s="46" t="s">
        <v>90</v>
      </c>
      <c r="G16" s="45"/>
      <c r="H16" s="54"/>
    </row>
    <row r="17" spans="1:8" ht="50.25" customHeight="1" x14ac:dyDescent="0.3">
      <c r="A17" s="52"/>
      <c r="B17" s="58" t="s">
        <v>31</v>
      </c>
      <c r="C17" s="47"/>
      <c r="D17" s="54"/>
      <c r="E17" s="64"/>
      <c r="F17" s="46" t="s">
        <v>36</v>
      </c>
      <c r="G17" s="45"/>
      <c r="H17" s="54"/>
    </row>
    <row r="18" spans="1:8" ht="30" customHeight="1" x14ac:dyDescent="0.3">
      <c r="A18" s="52"/>
      <c r="B18" s="60" t="s">
        <v>26</v>
      </c>
      <c r="C18" s="61">
        <f>SUM(C13:C17)/5</f>
        <v>0</v>
      </c>
      <c r="D18" s="55"/>
      <c r="E18" s="62"/>
      <c r="F18" s="57" t="s">
        <v>26</v>
      </c>
      <c r="G18" s="61">
        <f>SUM(G13:G17)/5</f>
        <v>0</v>
      </c>
      <c r="H18" s="55"/>
    </row>
    <row r="19" spans="1:8" ht="30" customHeight="1" x14ac:dyDescent="0.3">
      <c r="B19" s="93" t="s">
        <v>29</v>
      </c>
      <c r="C19" s="94"/>
      <c r="D19" s="94"/>
      <c r="E19" s="94"/>
      <c r="F19" s="94"/>
      <c r="G19" s="94"/>
      <c r="H19" s="95"/>
    </row>
    <row r="20" spans="1:8" ht="30" customHeight="1" x14ac:dyDescent="0.3">
      <c r="B20" s="96">
        <f>C18*G18</f>
        <v>0</v>
      </c>
      <c r="C20" s="97"/>
      <c r="D20" s="97"/>
      <c r="E20" s="97"/>
      <c r="F20" s="97"/>
      <c r="G20" s="97"/>
      <c r="H20" s="98"/>
    </row>
    <row r="21" spans="1:8" ht="50.25" customHeight="1" x14ac:dyDescent="0.3"/>
    <row r="22" spans="1:8" ht="50.25" customHeight="1" x14ac:dyDescent="0.3"/>
    <row r="23" spans="1:8" ht="30" customHeight="1" x14ac:dyDescent="0.3">
      <c r="B23" s="102" t="s">
        <v>50</v>
      </c>
      <c r="C23" s="103"/>
      <c r="D23" s="103"/>
      <c r="E23" s="103"/>
      <c r="F23" s="103"/>
      <c r="G23" s="103"/>
      <c r="H23" s="104"/>
    </row>
    <row r="24" spans="1:8" ht="30" customHeight="1" x14ac:dyDescent="0.3">
      <c r="B24" s="99" t="s">
        <v>41</v>
      </c>
      <c r="C24" s="100"/>
      <c r="D24" s="101"/>
      <c r="E24" s="72"/>
      <c r="F24" s="99" t="s">
        <v>42</v>
      </c>
      <c r="G24" s="100"/>
      <c r="H24" s="101"/>
    </row>
    <row r="25" spans="1:8" ht="50.25" customHeight="1" x14ac:dyDescent="0.3">
      <c r="B25" s="69" t="s">
        <v>30</v>
      </c>
      <c r="C25" s="70" t="s">
        <v>32</v>
      </c>
      <c r="D25" s="71" t="s">
        <v>33</v>
      </c>
      <c r="E25" s="66"/>
      <c r="F25" s="49" t="s">
        <v>30</v>
      </c>
      <c r="G25" s="49" t="s">
        <v>32</v>
      </c>
      <c r="H25" s="50" t="s">
        <v>33</v>
      </c>
    </row>
    <row r="26" spans="1:8" ht="50.25" customHeight="1" x14ac:dyDescent="0.3">
      <c r="B26" s="58" t="s">
        <v>55</v>
      </c>
      <c r="C26" s="48"/>
      <c r="D26" s="68"/>
      <c r="E26" s="64"/>
      <c r="F26" s="46" t="s">
        <v>83</v>
      </c>
      <c r="G26" s="56"/>
      <c r="H26" s="53"/>
    </row>
    <row r="27" spans="1:8" ht="50.25" customHeight="1" x14ac:dyDescent="0.3">
      <c r="B27" s="58" t="s">
        <v>80</v>
      </c>
      <c r="C27" s="47"/>
      <c r="D27" s="54"/>
      <c r="E27" s="64"/>
      <c r="F27" s="51" t="s">
        <v>92</v>
      </c>
      <c r="G27" s="45"/>
      <c r="H27" s="54"/>
    </row>
    <row r="28" spans="1:8" ht="51" customHeight="1" x14ac:dyDescent="0.3">
      <c r="B28" s="58" t="s">
        <v>81</v>
      </c>
      <c r="C28" s="47"/>
      <c r="D28" s="54"/>
      <c r="E28" s="64"/>
      <c r="F28" s="47" t="s">
        <v>93</v>
      </c>
      <c r="H28" s="54"/>
    </row>
    <row r="29" spans="1:8" ht="50.25" customHeight="1" x14ac:dyDescent="0.3">
      <c r="B29" s="58" t="s">
        <v>82</v>
      </c>
      <c r="D29" s="54"/>
      <c r="E29" s="64"/>
      <c r="F29" s="46" t="s">
        <v>56</v>
      </c>
      <c r="G29" s="45"/>
      <c r="H29" s="54"/>
    </row>
    <row r="30" spans="1:8" ht="50.25" customHeight="1" x14ac:dyDescent="0.3">
      <c r="A30" s="75"/>
      <c r="B30" s="58" t="s">
        <v>91</v>
      </c>
      <c r="C30" s="47"/>
      <c r="D30" s="54"/>
      <c r="E30" s="64"/>
      <c r="F30" s="46" t="s">
        <v>84</v>
      </c>
      <c r="G30" s="45"/>
      <c r="H30" s="54"/>
    </row>
    <row r="31" spans="1:8" ht="50.25" customHeight="1" x14ac:dyDescent="0.3">
      <c r="B31" s="60" t="s">
        <v>26</v>
      </c>
      <c r="C31" s="61">
        <f>SUM(C26:C30)/5</f>
        <v>0</v>
      </c>
      <c r="D31" s="55"/>
      <c r="E31" s="62"/>
      <c r="F31" s="57" t="s">
        <v>26</v>
      </c>
      <c r="G31" s="61">
        <f>SUM(G26:G30)/5</f>
        <v>0</v>
      </c>
      <c r="H31" s="55"/>
    </row>
    <row r="32" spans="1:8" ht="30" customHeight="1" x14ac:dyDescent="0.3">
      <c r="B32" s="93" t="s">
        <v>29</v>
      </c>
      <c r="C32" s="94"/>
      <c r="D32" s="94"/>
      <c r="E32" s="94"/>
      <c r="F32" s="94"/>
      <c r="G32" s="94"/>
      <c r="H32" s="95"/>
    </row>
    <row r="33" spans="2:8" ht="30" customHeight="1" x14ac:dyDescent="0.3">
      <c r="B33" s="96">
        <f>C31*G31</f>
        <v>0</v>
      </c>
      <c r="C33" s="97"/>
      <c r="D33" s="97"/>
      <c r="E33" s="97"/>
      <c r="F33" s="97"/>
      <c r="G33" s="97"/>
      <c r="H33" s="98"/>
    </row>
    <row r="34" spans="2:8" ht="50.25" customHeight="1" x14ac:dyDescent="0.3"/>
    <row r="35" spans="2:8" ht="50.25" customHeight="1" x14ac:dyDescent="0.3"/>
    <row r="36" spans="2:8" ht="30" customHeight="1" x14ac:dyDescent="0.3">
      <c r="B36" s="102" t="s">
        <v>66</v>
      </c>
      <c r="C36" s="103"/>
      <c r="D36" s="103"/>
      <c r="E36" s="103"/>
      <c r="F36" s="103"/>
      <c r="G36" s="103"/>
      <c r="H36" s="104"/>
    </row>
    <row r="37" spans="2:8" ht="30" customHeight="1" x14ac:dyDescent="0.3">
      <c r="B37" s="99" t="s">
        <v>41</v>
      </c>
      <c r="C37" s="100"/>
      <c r="D37" s="101"/>
      <c r="E37" s="72"/>
      <c r="F37" s="99" t="s">
        <v>42</v>
      </c>
      <c r="G37" s="100"/>
      <c r="H37" s="101"/>
    </row>
    <row r="38" spans="2:8" ht="50.25" customHeight="1" x14ac:dyDescent="0.3">
      <c r="B38" s="69" t="s">
        <v>30</v>
      </c>
      <c r="C38" s="70" t="s">
        <v>32</v>
      </c>
      <c r="D38" s="71" t="s">
        <v>33</v>
      </c>
      <c r="E38" s="66"/>
      <c r="F38" s="49" t="s">
        <v>30</v>
      </c>
      <c r="G38" s="49" t="s">
        <v>32</v>
      </c>
      <c r="H38" s="50" t="s">
        <v>33</v>
      </c>
    </row>
    <row r="39" spans="2:8" ht="50.25" customHeight="1" x14ac:dyDescent="0.3">
      <c r="B39" s="67" t="s">
        <v>85</v>
      </c>
      <c r="C39" s="48"/>
      <c r="D39" s="68"/>
      <c r="E39" s="64"/>
      <c r="F39" s="46" t="s">
        <v>68</v>
      </c>
      <c r="G39" s="56"/>
      <c r="H39" s="53"/>
    </row>
    <row r="40" spans="2:8" ht="50.25" customHeight="1" x14ac:dyDescent="0.3">
      <c r="B40" s="58" t="s">
        <v>86</v>
      </c>
      <c r="C40" s="47"/>
      <c r="D40" s="54"/>
      <c r="E40" s="64"/>
      <c r="F40" s="51" t="s">
        <v>94</v>
      </c>
      <c r="G40" s="45"/>
      <c r="H40" s="54"/>
    </row>
    <row r="41" spans="2:8" ht="51" customHeight="1" x14ac:dyDescent="0.3">
      <c r="B41" s="58" t="s">
        <v>87</v>
      </c>
      <c r="C41" s="47"/>
      <c r="D41" s="54"/>
      <c r="E41" s="64"/>
      <c r="F41" s="47" t="s">
        <v>95</v>
      </c>
      <c r="H41" s="54"/>
    </row>
    <row r="42" spans="2:8" ht="50.25" customHeight="1" x14ac:dyDescent="0.3">
      <c r="B42" s="58" t="s">
        <v>88</v>
      </c>
      <c r="C42" s="47"/>
      <c r="D42" s="54"/>
      <c r="E42" s="64"/>
      <c r="F42" s="46" t="s">
        <v>96</v>
      </c>
      <c r="G42" s="45"/>
      <c r="H42" s="54"/>
    </row>
    <row r="43" spans="2:8" ht="50.25" customHeight="1" x14ac:dyDescent="0.3">
      <c r="B43" s="58" t="s">
        <v>89</v>
      </c>
      <c r="C43" s="47"/>
      <c r="D43" s="54"/>
      <c r="E43" s="64"/>
      <c r="F43" s="46" t="s">
        <v>97</v>
      </c>
      <c r="G43" s="45"/>
      <c r="H43" s="54"/>
    </row>
    <row r="44" spans="2:8" ht="50.25" customHeight="1" x14ac:dyDescent="0.3">
      <c r="B44" s="60" t="s">
        <v>26</v>
      </c>
      <c r="C44" s="61">
        <f>SUM(C39:C43)/5</f>
        <v>0</v>
      </c>
      <c r="D44" s="55"/>
      <c r="E44" s="62"/>
      <c r="F44" s="57" t="s">
        <v>26</v>
      </c>
      <c r="G44" s="61">
        <f>SUM(G39:G43)/5</f>
        <v>0</v>
      </c>
      <c r="H44" s="55"/>
    </row>
    <row r="45" spans="2:8" ht="30" customHeight="1" x14ac:dyDescent="0.3">
      <c r="B45" s="93" t="s">
        <v>29</v>
      </c>
      <c r="C45" s="94"/>
      <c r="D45" s="94"/>
      <c r="E45" s="94"/>
      <c r="F45" s="94"/>
      <c r="G45" s="94"/>
      <c r="H45" s="95"/>
    </row>
    <row r="46" spans="2:8" ht="30" customHeight="1" x14ac:dyDescent="0.3">
      <c r="B46" s="96">
        <f>C44*G44</f>
        <v>0</v>
      </c>
      <c r="C46" s="97"/>
      <c r="D46" s="97"/>
      <c r="E46" s="97"/>
      <c r="F46" s="97"/>
      <c r="G46" s="97"/>
      <c r="H46" s="98"/>
    </row>
    <row r="49" spans="2:8" ht="30" customHeight="1" x14ac:dyDescent="0.3">
      <c r="B49" s="102" t="s">
        <v>98</v>
      </c>
      <c r="C49" s="103"/>
      <c r="D49" s="103"/>
      <c r="E49" s="103"/>
      <c r="F49" s="103"/>
      <c r="G49" s="103"/>
      <c r="H49" s="104"/>
    </row>
    <row r="50" spans="2:8" ht="30" customHeight="1" x14ac:dyDescent="0.3">
      <c r="B50" s="99" t="s">
        <v>41</v>
      </c>
      <c r="C50" s="100"/>
      <c r="D50" s="101"/>
      <c r="E50" s="72"/>
      <c r="F50" s="99" t="s">
        <v>42</v>
      </c>
      <c r="G50" s="100"/>
      <c r="H50" s="101"/>
    </row>
    <row r="51" spans="2:8" ht="50.25" customHeight="1" x14ac:dyDescent="0.3">
      <c r="B51" s="69" t="s">
        <v>30</v>
      </c>
      <c r="C51" s="70" t="s">
        <v>32</v>
      </c>
      <c r="D51" s="71" t="s">
        <v>33</v>
      </c>
      <c r="E51" s="66"/>
      <c r="F51" s="49" t="s">
        <v>30</v>
      </c>
      <c r="G51" s="49" t="s">
        <v>32</v>
      </c>
      <c r="H51" s="50" t="s">
        <v>33</v>
      </c>
    </row>
    <row r="52" spans="2:8" ht="50.25" customHeight="1" x14ac:dyDescent="0.3">
      <c r="B52" s="67" t="s">
        <v>59</v>
      </c>
      <c r="C52" s="87"/>
      <c r="E52" s="64"/>
      <c r="F52" s="46" t="s">
        <v>61</v>
      </c>
      <c r="G52" s="56"/>
      <c r="H52" s="53"/>
    </row>
    <row r="53" spans="2:8" ht="50.25" customHeight="1" x14ac:dyDescent="0.3">
      <c r="B53" s="58" t="s">
        <v>102</v>
      </c>
      <c r="C53" s="77"/>
      <c r="D53" s="88"/>
      <c r="E53" s="65"/>
      <c r="F53" s="51" t="s">
        <v>60</v>
      </c>
      <c r="G53" s="45"/>
      <c r="H53" s="54"/>
    </row>
    <row r="54" spans="2:8" ht="51" customHeight="1" x14ac:dyDescent="0.3">
      <c r="B54" s="59" t="s">
        <v>58</v>
      </c>
      <c r="C54" s="47"/>
      <c r="D54" s="68"/>
      <c r="E54" s="64"/>
      <c r="F54" s="47" t="s">
        <v>99</v>
      </c>
      <c r="G54" s="76"/>
      <c r="H54" s="54"/>
    </row>
    <row r="55" spans="2:8" ht="50.25" customHeight="1" x14ac:dyDescent="0.3">
      <c r="B55" s="58" t="s">
        <v>100</v>
      </c>
      <c r="C55" s="47"/>
      <c r="D55" s="54"/>
      <c r="E55" s="64"/>
      <c r="F55" s="46" t="s">
        <v>62</v>
      </c>
      <c r="G55" s="45"/>
      <c r="H55" s="54"/>
    </row>
    <row r="56" spans="2:8" ht="50.25" customHeight="1" x14ac:dyDescent="0.3">
      <c r="B56" s="58" t="s">
        <v>101</v>
      </c>
      <c r="C56" s="47"/>
      <c r="D56" s="54"/>
      <c r="E56" s="64"/>
      <c r="F56" s="46" t="s">
        <v>63</v>
      </c>
      <c r="G56" s="45"/>
      <c r="H56" s="54"/>
    </row>
    <row r="57" spans="2:8" ht="50.25" customHeight="1" x14ac:dyDescent="0.3">
      <c r="B57" s="60" t="s">
        <v>26</v>
      </c>
      <c r="C57" s="61">
        <f>SUM(C52:C56)/5</f>
        <v>0</v>
      </c>
      <c r="D57" s="55"/>
      <c r="E57" s="62"/>
      <c r="F57" s="57" t="s">
        <v>26</v>
      </c>
      <c r="G57" s="61">
        <f>SUM(G52:G56)/5</f>
        <v>0</v>
      </c>
      <c r="H57" s="55"/>
    </row>
    <row r="58" spans="2:8" ht="30" customHeight="1" x14ac:dyDescent="0.3">
      <c r="B58" s="93" t="s">
        <v>29</v>
      </c>
      <c r="C58" s="94"/>
      <c r="D58" s="94"/>
      <c r="E58" s="94"/>
      <c r="F58" s="94"/>
      <c r="G58" s="94"/>
      <c r="H58" s="95"/>
    </row>
    <row r="59" spans="2:8" ht="30" customHeight="1" x14ac:dyDescent="0.3">
      <c r="B59" s="96">
        <f>C57*G57</f>
        <v>0</v>
      </c>
      <c r="C59" s="97"/>
      <c r="D59" s="97"/>
      <c r="E59" s="97"/>
      <c r="F59" s="97"/>
      <c r="G59" s="97"/>
      <c r="H59" s="98"/>
    </row>
    <row r="62" spans="2:8" ht="30" customHeight="1" x14ac:dyDescent="0.3">
      <c r="B62" s="102" t="s">
        <v>51</v>
      </c>
      <c r="C62" s="103"/>
      <c r="D62" s="103"/>
      <c r="E62" s="103"/>
      <c r="F62" s="103"/>
      <c r="G62" s="103"/>
      <c r="H62" s="104"/>
    </row>
    <row r="63" spans="2:8" ht="30" customHeight="1" x14ac:dyDescent="0.3">
      <c r="B63" s="99" t="s">
        <v>41</v>
      </c>
      <c r="C63" s="100"/>
      <c r="D63" s="101"/>
      <c r="E63" s="72"/>
      <c r="F63" s="99" t="s">
        <v>42</v>
      </c>
      <c r="G63" s="100"/>
      <c r="H63" s="101"/>
    </row>
    <row r="64" spans="2:8" ht="50.25" customHeight="1" x14ac:dyDescent="0.3">
      <c r="B64" s="69" t="s">
        <v>30</v>
      </c>
      <c r="C64" s="82" t="s">
        <v>32</v>
      </c>
      <c r="D64" s="78" t="s">
        <v>33</v>
      </c>
      <c r="E64" s="66"/>
      <c r="F64" s="49" t="s">
        <v>30</v>
      </c>
      <c r="G64" s="49" t="s">
        <v>32</v>
      </c>
      <c r="H64" s="50" t="s">
        <v>33</v>
      </c>
    </row>
    <row r="65" spans="2:8" ht="50.25" customHeight="1" x14ac:dyDescent="0.3">
      <c r="B65" s="81" t="s">
        <v>103</v>
      </c>
      <c r="C65" s="84"/>
      <c r="D65" s="83"/>
      <c r="E65" s="65"/>
      <c r="F65" s="46" t="s">
        <v>65</v>
      </c>
      <c r="G65" s="56"/>
      <c r="H65" s="53"/>
    </row>
    <row r="66" spans="2:8" ht="50.25" customHeight="1" x14ac:dyDescent="0.3">
      <c r="B66" s="58" t="s">
        <v>64</v>
      </c>
      <c r="C66" s="79"/>
      <c r="D66" s="85"/>
      <c r="E66" s="64"/>
      <c r="F66" s="51" t="s">
        <v>114</v>
      </c>
      <c r="G66" s="45"/>
      <c r="H66" s="54"/>
    </row>
    <row r="67" spans="2:8" ht="51" customHeight="1" x14ac:dyDescent="0.3">
      <c r="B67" s="58" t="s">
        <v>113</v>
      </c>
      <c r="C67" s="80"/>
      <c r="D67" s="86"/>
      <c r="E67" s="65"/>
      <c r="F67" s="47" t="s">
        <v>105</v>
      </c>
      <c r="H67" s="54"/>
    </row>
    <row r="68" spans="2:8" ht="50.25" customHeight="1" x14ac:dyDescent="0.3">
      <c r="B68" s="58" t="s">
        <v>112</v>
      </c>
      <c r="C68" s="47"/>
      <c r="D68" s="68"/>
      <c r="E68" s="64"/>
      <c r="F68" s="46" t="s">
        <v>104</v>
      </c>
      <c r="G68" s="45"/>
      <c r="H68" s="54"/>
    </row>
    <row r="69" spans="2:8" ht="50.25" customHeight="1" x14ac:dyDescent="0.3">
      <c r="B69" s="58" t="s">
        <v>111</v>
      </c>
      <c r="C69" s="47"/>
      <c r="D69" s="54"/>
      <c r="E69" s="64"/>
      <c r="F69" s="46" t="s">
        <v>115</v>
      </c>
      <c r="G69" s="45"/>
      <c r="H69" s="54"/>
    </row>
    <row r="70" spans="2:8" ht="50.25" customHeight="1" x14ac:dyDescent="0.3">
      <c r="B70" s="60" t="s">
        <v>26</v>
      </c>
      <c r="C70" s="61">
        <f>SUM(C65:C69)/5</f>
        <v>0</v>
      </c>
      <c r="D70" s="55"/>
      <c r="E70" s="62"/>
      <c r="F70" s="57" t="s">
        <v>26</v>
      </c>
      <c r="G70" s="61">
        <f>SUM(G65:G69)/5</f>
        <v>0</v>
      </c>
      <c r="H70" s="55"/>
    </row>
    <row r="71" spans="2:8" ht="30" customHeight="1" x14ac:dyDescent="0.3">
      <c r="B71" s="93" t="s">
        <v>29</v>
      </c>
      <c r="C71" s="94"/>
      <c r="D71" s="94"/>
      <c r="E71" s="94"/>
      <c r="F71" s="94"/>
      <c r="G71" s="94"/>
      <c r="H71" s="95"/>
    </row>
    <row r="72" spans="2:8" ht="30" customHeight="1" x14ac:dyDescent="0.3">
      <c r="B72" s="96">
        <f>C70*G70</f>
        <v>0</v>
      </c>
      <c r="C72" s="97"/>
      <c r="D72" s="97"/>
      <c r="E72" s="97"/>
      <c r="F72" s="97"/>
      <c r="G72" s="97"/>
      <c r="H72" s="98"/>
    </row>
    <row r="75" spans="2:8" ht="30" customHeight="1" x14ac:dyDescent="0.3">
      <c r="B75" s="102" t="s">
        <v>52</v>
      </c>
      <c r="C75" s="103"/>
      <c r="D75" s="103"/>
      <c r="E75" s="103"/>
      <c r="F75" s="103"/>
      <c r="G75" s="103"/>
      <c r="H75" s="104"/>
    </row>
    <row r="76" spans="2:8" ht="30" customHeight="1" x14ac:dyDescent="0.3">
      <c r="B76" s="99" t="s">
        <v>41</v>
      </c>
      <c r="C76" s="100"/>
      <c r="D76" s="101"/>
      <c r="E76" s="72"/>
      <c r="F76" s="99" t="s">
        <v>42</v>
      </c>
      <c r="G76" s="100"/>
      <c r="H76" s="101"/>
    </row>
    <row r="77" spans="2:8" ht="50.25" customHeight="1" x14ac:dyDescent="0.3">
      <c r="B77" s="69" t="s">
        <v>30</v>
      </c>
      <c r="C77" s="70" t="s">
        <v>32</v>
      </c>
      <c r="D77" s="71" t="s">
        <v>33</v>
      </c>
      <c r="E77" s="66"/>
      <c r="F77" s="49" t="s">
        <v>30</v>
      </c>
      <c r="G77" s="49" t="s">
        <v>32</v>
      </c>
      <c r="H77" s="50" t="s">
        <v>33</v>
      </c>
    </row>
    <row r="78" spans="2:8" ht="50.25" customHeight="1" x14ac:dyDescent="0.3">
      <c r="B78" s="67" t="s">
        <v>107</v>
      </c>
      <c r="C78" s="48"/>
      <c r="D78" s="68"/>
      <c r="E78" s="64"/>
      <c r="F78" s="46" t="s">
        <v>120</v>
      </c>
      <c r="G78" s="56"/>
      <c r="H78" s="53"/>
    </row>
    <row r="79" spans="2:8" ht="50.25" customHeight="1" x14ac:dyDescent="0.3">
      <c r="B79" s="58" t="s">
        <v>106</v>
      </c>
      <c r="C79" s="47"/>
      <c r="D79" s="54"/>
      <c r="E79" s="64"/>
      <c r="F79" s="51" t="s">
        <v>119</v>
      </c>
      <c r="G79" s="45"/>
      <c r="H79" s="54"/>
    </row>
    <row r="80" spans="2:8" ht="51" customHeight="1" x14ac:dyDescent="0.3">
      <c r="B80" s="58" t="s">
        <v>108</v>
      </c>
      <c r="C80" s="47"/>
      <c r="D80" s="54"/>
      <c r="E80" s="64"/>
      <c r="F80" s="47" t="s">
        <v>118</v>
      </c>
      <c r="H80" s="54"/>
    </row>
    <row r="81" spans="2:8" ht="50.25" customHeight="1" x14ac:dyDescent="0.3">
      <c r="B81" s="58" t="s">
        <v>109</v>
      </c>
      <c r="C81" s="47"/>
      <c r="D81" s="54"/>
      <c r="E81" s="64"/>
      <c r="F81" s="46" t="s">
        <v>117</v>
      </c>
      <c r="G81" s="45"/>
      <c r="H81" s="54"/>
    </row>
    <row r="82" spans="2:8" ht="50.25" customHeight="1" x14ac:dyDescent="0.3">
      <c r="B82" s="58" t="s">
        <v>110</v>
      </c>
      <c r="C82" s="47"/>
      <c r="D82" s="54"/>
      <c r="E82" s="64"/>
      <c r="F82" s="46" t="s">
        <v>116</v>
      </c>
      <c r="G82" s="45"/>
      <c r="H82" s="54"/>
    </row>
    <row r="83" spans="2:8" ht="50.25" customHeight="1" x14ac:dyDescent="0.3">
      <c r="B83" s="60" t="s">
        <v>26</v>
      </c>
      <c r="C83" s="61">
        <f>SUM(C78:C82)/5</f>
        <v>0</v>
      </c>
      <c r="D83" s="55"/>
      <c r="E83" s="62"/>
      <c r="F83" s="57" t="s">
        <v>26</v>
      </c>
      <c r="G83" s="61">
        <f>SUM(G78:G82)/5</f>
        <v>0</v>
      </c>
      <c r="H83" s="55"/>
    </row>
    <row r="84" spans="2:8" ht="30" customHeight="1" x14ac:dyDescent="0.3">
      <c r="B84" s="93" t="s">
        <v>29</v>
      </c>
      <c r="C84" s="94"/>
      <c r="D84" s="94"/>
      <c r="E84" s="94"/>
      <c r="F84" s="94"/>
      <c r="G84" s="94"/>
      <c r="H84" s="95"/>
    </row>
    <row r="85" spans="2:8" ht="30" customHeight="1" x14ac:dyDescent="0.3">
      <c r="B85" s="96">
        <f>C83*G83</f>
        <v>0</v>
      </c>
      <c r="C85" s="97"/>
      <c r="D85" s="97"/>
      <c r="E85" s="97"/>
      <c r="F85" s="97"/>
      <c r="G85" s="97"/>
      <c r="H85" s="98"/>
    </row>
    <row r="88" spans="2:8" ht="30" customHeight="1" x14ac:dyDescent="0.3">
      <c r="B88" s="102" t="s">
        <v>67</v>
      </c>
      <c r="C88" s="103"/>
      <c r="D88" s="103"/>
      <c r="E88" s="103"/>
      <c r="F88" s="103"/>
      <c r="G88" s="103"/>
      <c r="H88" s="104"/>
    </row>
    <row r="89" spans="2:8" ht="30" customHeight="1" x14ac:dyDescent="0.3">
      <c r="B89" s="99" t="s">
        <v>41</v>
      </c>
      <c r="C89" s="100"/>
      <c r="D89" s="101"/>
      <c r="E89" s="72"/>
      <c r="F89" s="99" t="s">
        <v>42</v>
      </c>
      <c r="G89" s="100"/>
      <c r="H89" s="101"/>
    </row>
    <row r="90" spans="2:8" ht="50.25" customHeight="1" x14ac:dyDescent="0.3">
      <c r="B90" s="69" t="s">
        <v>30</v>
      </c>
      <c r="C90" s="70" t="s">
        <v>32</v>
      </c>
      <c r="D90" s="71" t="s">
        <v>33</v>
      </c>
      <c r="E90" s="66"/>
      <c r="F90" s="49" t="s">
        <v>30</v>
      </c>
      <c r="G90" s="49" t="s">
        <v>32</v>
      </c>
      <c r="H90" s="50" t="s">
        <v>33</v>
      </c>
    </row>
    <row r="91" spans="2:8" ht="50.25" customHeight="1" x14ac:dyDescent="0.3">
      <c r="B91" s="67" t="s">
        <v>71</v>
      </c>
      <c r="C91" s="48"/>
      <c r="D91" s="68"/>
      <c r="E91" s="64"/>
      <c r="F91" s="46" t="s">
        <v>69</v>
      </c>
      <c r="G91" s="56"/>
      <c r="H91" s="53"/>
    </row>
    <row r="92" spans="2:8" ht="50.25" customHeight="1" x14ac:dyDescent="0.3">
      <c r="B92" s="58" t="s">
        <v>72</v>
      </c>
      <c r="C92" s="47"/>
      <c r="D92" s="54"/>
      <c r="E92" s="64"/>
      <c r="F92" s="51" t="s">
        <v>76</v>
      </c>
      <c r="G92" s="45"/>
      <c r="H92" s="54"/>
    </row>
    <row r="93" spans="2:8" ht="51" customHeight="1" x14ac:dyDescent="0.3">
      <c r="B93" s="59" t="s">
        <v>73</v>
      </c>
      <c r="C93" s="47"/>
      <c r="D93" s="54"/>
      <c r="E93" s="64"/>
      <c r="F93" s="47" t="s">
        <v>77</v>
      </c>
      <c r="H93" s="54"/>
    </row>
    <row r="94" spans="2:8" ht="50.25" customHeight="1" x14ac:dyDescent="0.3">
      <c r="B94" s="58" t="s">
        <v>74</v>
      </c>
      <c r="C94" s="47"/>
      <c r="D94" s="54"/>
      <c r="E94" s="64"/>
      <c r="F94" s="46" t="s">
        <v>78</v>
      </c>
      <c r="H94" s="54"/>
    </row>
    <row r="95" spans="2:8" ht="50.25" customHeight="1" x14ac:dyDescent="0.3">
      <c r="B95" s="58" t="s">
        <v>75</v>
      </c>
      <c r="C95" s="47"/>
      <c r="D95" s="54"/>
      <c r="E95" s="64"/>
      <c r="F95" s="46" t="s">
        <v>79</v>
      </c>
      <c r="G95" s="45"/>
      <c r="H95" s="54"/>
    </row>
    <row r="96" spans="2:8" ht="50.25" customHeight="1" x14ac:dyDescent="0.3">
      <c r="B96" s="60" t="s">
        <v>26</v>
      </c>
      <c r="C96" s="61">
        <f>SUM(C91:C95)/5</f>
        <v>0</v>
      </c>
      <c r="D96" s="55"/>
      <c r="E96" s="62"/>
      <c r="F96" s="57" t="s">
        <v>26</v>
      </c>
      <c r="G96" s="61">
        <f>SUM(G91:G95)/5</f>
        <v>0</v>
      </c>
      <c r="H96" s="55"/>
    </row>
    <row r="97" spans="2:8" ht="30" customHeight="1" x14ac:dyDescent="0.3">
      <c r="B97" s="93" t="s">
        <v>29</v>
      </c>
      <c r="C97" s="94"/>
      <c r="D97" s="94"/>
      <c r="E97" s="94"/>
      <c r="F97" s="94"/>
      <c r="G97" s="94"/>
      <c r="H97" s="95"/>
    </row>
    <row r="98" spans="2:8" ht="30" customHeight="1" x14ac:dyDescent="0.3">
      <c r="B98" s="96">
        <f>C96*G96</f>
        <v>0</v>
      </c>
      <c r="C98" s="97"/>
      <c r="D98" s="97"/>
      <c r="E98" s="97"/>
      <c r="F98" s="97"/>
      <c r="G98" s="97"/>
      <c r="H98" s="98"/>
    </row>
    <row r="101" spans="2:8" ht="30" customHeight="1" x14ac:dyDescent="0.3">
      <c r="B101" s="102" t="s">
        <v>53</v>
      </c>
      <c r="C101" s="103"/>
      <c r="D101" s="103"/>
      <c r="E101" s="103"/>
      <c r="F101" s="103"/>
      <c r="G101" s="103"/>
      <c r="H101" s="104"/>
    </row>
    <row r="102" spans="2:8" ht="30" customHeight="1" x14ac:dyDescent="0.3">
      <c r="B102" s="99" t="s">
        <v>41</v>
      </c>
      <c r="C102" s="100"/>
      <c r="D102" s="101"/>
      <c r="E102" s="72"/>
      <c r="F102" s="99" t="s">
        <v>42</v>
      </c>
      <c r="G102" s="100"/>
      <c r="H102" s="101"/>
    </row>
    <row r="103" spans="2:8" ht="50.25" customHeight="1" x14ac:dyDescent="0.3">
      <c r="B103" s="69" t="s">
        <v>30</v>
      </c>
      <c r="C103" s="70" t="s">
        <v>32</v>
      </c>
      <c r="D103" s="71" t="s">
        <v>33</v>
      </c>
      <c r="E103" s="66"/>
      <c r="F103" s="49" t="s">
        <v>30</v>
      </c>
      <c r="G103" s="49" t="s">
        <v>32</v>
      </c>
      <c r="H103" s="50" t="s">
        <v>33</v>
      </c>
    </row>
    <row r="104" spans="2:8" ht="50.25" customHeight="1" x14ac:dyDescent="0.3">
      <c r="B104" s="67" t="s">
        <v>121</v>
      </c>
      <c r="C104" s="48"/>
      <c r="D104" s="68"/>
      <c r="E104" s="64"/>
      <c r="F104" s="46" t="s">
        <v>124</v>
      </c>
      <c r="G104" s="56"/>
      <c r="H104" s="53"/>
    </row>
    <row r="105" spans="2:8" ht="50.25" customHeight="1" x14ac:dyDescent="0.3">
      <c r="B105" s="58" t="s">
        <v>122</v>
      </c>
      <c r="C105" s="47"/>
      <c r="D105" s="54"/>
      <c r="E105" s="64"/>
      <c r="F105" s="51" t="s">
        <v>125</v>
      </c>
      <c r="G105" s="45"/>
      <c r="H105" s="54"/>
    </row>
    <row r="106" spans="2:8" ht="51" customHeight="1" x14ac:dyDescent="0.3">
      <c r="B106" s="59" t="s">
        <v>123</v>
      </c>
      <c r="C106" s="47"/>
      <c r="D106" s="54"/>
      <c r="E106" s="64"/>
      <c r="F106" s="47" t="s">
        <v>126</v>
      </c>
      <c r="H106" s="54"/>
    </row>
    <row r="107" spans="2:8" ht="50.25" customHeight="1" x14ac:dyDescent="0.3">
      <c r="B107" s="58" t="s">
        <v>129</v>
      </c>
      <c r="C107" s="47"/>
      <c r="D107" s="54"/>
      <c r="E107" s="64"/>
      <c r="F107" s="46" t="s">
        <v>130</v>
      </c>
      <c r="G107" s="45"/>
      <c r="H107" s="54"/>
    </row>
    <row r="108" spans="2:8" ht="50.25" customHeight="1" x14ac:dyDescent="0.3">
      <c r="B108" s="58" t="s">
        <v>128</v>
      </c>
      <c r="C108" s="47"/>
      <c r="D108" s="54"/>
      <c r="E108" s="64"/>
      <c r="F108" s="46" t="s">
        <v>127</v>
      </c>
      <c r="G108" s="45"/>
      <c r="H108" s="54"/>
    </row>
    <row r="109" spans="2:8" ht="50.25" customHeight="1" x14ac:dyDescent="0.3">
      <c r="B109" s="60" t="s">
        <v>26</v>
      </c>
      <c r="C109" s="61">
        <f>SUM(C104:C108)/5</f>
        <v>0</v>
      </c>
      <c r="D109" s="55"/>
      <c r="E109" s="62"/>
      <c r="F109" s="57" t="s">
        <v>26</v>
      </c>
      <c r="G109" s="61">
        <f>SUM(G104:G108)/5</f>
        <v>0</v>
      </c>
      <c r="H109" s="55"/>
    </row>
    <row r="110" spans="2:8" ht="30" customHeight="1" x14ac:dyDescent="0.3">
      <c r="B110" s="93" t="s">
        <v>29</v>
      </c>
      <c r="C110" s="94"/>
      <c r="D110" s="94"/>
      <c r="E110" s="94"/>
      <c r="F110" s="94"/>
      <c r="G110" s="94"/>
      <c r="H110" s="95"/>
    </row>
    <row r="111" spans="2:8" ht="30" customHeight="1" x14ac:dyDescent="0.3">
      <c r="B111" s="96">
        <f>C109*G109</f>
        <v>0</v>
      </c>
      <c r="C111" s="97"/>
      <c r="D111" s="97"/>
      <c r="E111" s="97"/>
      <c r="F111" s="97"/>
      <c r="G111" s="97"/>
      <c r="H111" s="98"/>
    </row>
    <row r="116" spans="2:8" ht="30" customHeight="1" thickBot="1" x14ac:dyDescent="0.4">
      <c r="B116" s="21" t="s">
        <v>1</v>
      </c>
      <c r="C116" s="43"/>
      <c r="D116" s="43"/>
      <c r="E116" s="43"/>
      <c r="F116" s="22" t="s">
        <v>2</v>
      </c>
      <c r="G116" s="23"/>
      <c r="H116" s="23"/>
    </row>
    <row r="117" spans="2:8" ht="30" customHeight="1" thickBot="1" x14ac:dyDescent="0.35">
      <c r="C117" s="43"/>
      <c r="D117" s="43"/>
      <c r="E117" s="43"/>
      <c r="F117" s="5"/>
      <c r="G117" s="24"/>
      <c r="H117" s="24"/>
    </row>
  </sheetData>
  <mergeCells count="42">
    <mergeCell ref="B19:H19"/>
    <mergeCell ref="B20:H20"/>
    <mergeCell ref="B10:H10"/>
    <mergeCell ref="B11:D11"/>
    <mergeCell ref="C3:D3"/>
    <mergeCell ref="F3:G3"/>
    <mergeCell ref="F11:H11"/>
    <mergeCell ref="B23:H23"/>
    <mergeCell ref="B24:D24"/>
    <mergeCell ref="F24:H24"/>
    <mergeCell ref="B36:H36"/>
    <mergeCell ref="B37:D37"/>
    <mergeCell ref="F37:H37"/>
    <mergeCell ref="B32:H32"/>
    <mergeCell ref="B33:H33"/>
    <mergeCell ref="B72:H72"/>
    <mergeCell ref="B45:H45"/>
    <mergeCell ref="B46:H46"/>
    <mergeCell ref="B49:H49"/>
    <mergeCell ref="B50:D50"/>
    <mergeCell ref="F50:H50"/>
    <mergeCell ref="B58:H58"/>
    <mergeCell ref="B59:H59"/>
    <mergeCell ref="B62:H62"/>
    <mergeCell ref="B63:D63"/>
    <mergeCell ref="F63:H63"/>
    <mergeCell ref="B71:H71"/>
    <mergeCell ref="B110:H110"/>
    <mergeCell ref="B111:H111"/>
    <mergeCell ref="B102:D102"/>
    <mergeCell ref="F102:H102"/>
    <mergeCell ref="B75:H75"/>
    <mergeCell ref="B76:D76"/>
    <mergeCell ref="F76:H76"/>
    <mergeCell ref="B84:H84"/>
    <mergeCell ref="B85:H85"/>
    <mergeCell ref="B88:H88"/>
    <mergeCell ref="B89:D89"/>
    <mergeCell ref="F89:H89"/>
    <mergeCell ref="B97:H97"/>
    <mergeCell ref="B98:H98"/>
    <mergeCell ref="B101:H101"/>
  </mergeCells>
  <dataValidations count="2">
    <dataValidation allowBlank="1" showInputMessage="1" showErrorMessage="1" prompt="Track expenses in this Expense Report worksheet. Enter values in various expense categories in cells B9 to K18 and in Expense Data table." sqref="A1" xr:uid="{8AD9ECC0-8F29-4F44-A995-93D3415B5C5F}"/>
    <dataValidation allowBlank="1" showErrorMessage="1" sqref="J13:L14 I15:L18 B19:B21 H12:L12 D12:F12 I20:L25 G16:G18 C21:H21 G12:G14 K1:L10 F8:H8 B9:J10 B1:J5 D67:F70 D13:D18 B12:C18 H13:H18 E15:F18 F13:F14 I29:L34 H25:H31 B32:B33 D25:F25 G29:G31 G25:G27 B35:H35 D26:D31 E28:F31 F26:F27 B23 B116:H117 B60:H61 B36 I36:L38 H38:H44 B45:B46 D38:F38 G42:G44 G38:G40 D39:D44 B29:B30 E41:F44 F39:F40 I42:L51 B47:H48 F52:F53 B49 H51:H57 B58:B59 D51:F51 G55:G57 G51:G53 I55:L64 B62 H64:H70 B71:B72 D64:F64 G68:G70 G64:G66 B64:C70 F65:F66 I68:L72 B75 I75:L77 H77:H83 B84:B85 D77:F77 G81:G83 G77:G79 D78:D83 B77:C83 E80:F83 F78:F79 I81:L85 B88 I88:L90 H90:H96 B97:B98 D90:F90 D91:D96 B90:C96 E93:F96 F91:F92 I94:L98 B101 I101:L103 H103:H109 B110:B111 D103:F103 G107:G109 G103:G105 D104:D109 B103:C109 E106:F109 F104:F105 I107:L111 C30 B38:C44 B31:C31 B25:C28 G90:G93 G95:G96 B51:C57 D54:F57 C65:D65 B6:E8 F6:G7" xr:uid="{7D359362-DFD7-4066-BA32-9829C038BA81}"/>
  </dataValidations>
  <printOptions horizontalCentered="1"/>
  <pageMargins left="0.4" right="0.4" top="0.4" bottom="0.4" header="0.3" footer="0.3"/>
  <pageSetup scale="40" fitToHeight="0" orientation="landscape" horizontalDpi="4294967293" r:id="rId1"/>
  <headerFooter differentFirst="1">
    <oddFooter>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ea7839-49ed-4e87-8111-7bac293cba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F2EBF9C09234C8C4A921F5916F564" ma:contentTypeVersion="6" ma:contentTypeDescription="Create a new document." ma:contentTypeScope="" ma:versionID="aa83ca59748cbd8243ffaed96681c7f7">
  <xsd:schema xmlns:xsd="http://www.w3.org/2001/XMLSchema" xmlns:xs="http://www.w3.org/2001/XMLSchema" xmlns:p="http://schemas.microsoft.com/office/2006/metadata/properties" xmlns:ns3="31ea7839-49ed-4e87-8111-7bac293cbadc" targetNamespace="http://schemas.microsoft.com/office/2006/metadata/properties" ma:root="true" ma:fieldsID="753b38cee75ace8c56635aeaabf443bf" ns3:_="">
    <xsd:import namespace="31ea7839-49ed-4e87-8111-7bac293cba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a7839-49ed-4e87-8111-7bac293cb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53990A-E8CE-40A1-B16C-FF31E72646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056B5-BF2F-4DFA-A57F-D75DA6DEA9DC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31ea7839-49ed-4e87-8111-7bac293cbad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25E90DC-3E17-4102-9480-33076FE2C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a7839-49ed-4e87-8111-7bac293cb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TM66811421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Asset Assessment</vt:lpstr>
      <vt:lpstr>Risk Assessment</vt:lpstr>
      <vt:lpstr>ColumnTitle1</vt:lpstr>
      <vt:lpstr>l</vt:lpstr>
      <vt:lpstr>'Asset Assessment'!Print_Titles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2022-11-28T06:59:06Z</dcterms:created>
  <dcterms:modified xsi:type="dcterms:W3CDTF">2026-04-29T21:53:30Z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0x010100FE4F2EBF9C09234C8C4A921F5916F564</vt:lpwstr>
  </property>
</Properties>
</file>